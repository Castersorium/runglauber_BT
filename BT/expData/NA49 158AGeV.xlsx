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xiaozhou\WorkSpace\NuclearModel\tglaubermc\runglauber_v3.3\BT\expData\"/>
    </mc:Choice>
  </mc:AlternateContent>
  <xr:revisionPtr revIDLastSave="0" documentId="13_ncr:1_{0B823EB4-F99E-490B-84B9-F817D0F80B2F}" xr6:coauthVersionLast="36" xr6:coauthVersionMax="36" xr10:uidLastSave="{00000000-0000-0000-0000-000000000000}"/>
  <bookViews>
    <workbookView xWindow="0" yWindow="0" windowWidth="30720" windowHeight="133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2" i="1"/>
  <c r="X3" i="1"/>
  <c r="X4" i="1"/>
  <c r="X5" i="1"/>
  <c r="X6" i="1"/>
  <c r="X7" i="1"/>
  <c r="X8" i="1"/>
  <c r="X9" i="1"/>
  <c r="X10" i="1"/>
  <c r="X11" i="1"/>
  <c r="X12" i="1"/>
  <c r="X2" i="1"/>
  <c r="AA3" i="1"/>
  <c r="AA4" i="1"/>
  <c r="AA5" i="1"/>
  <c r="AA6" i="1"/>
  <c r="AA7" i="1"/>
  <c r="AA8" i="1"/>
  <c r="AA9" i="1"/>
  <c r="AA10" i="1"/>
  <c r="AA11" i="1"/>
  <c r="AA12" i="1"/>
  <c r="AA2" i="1"/>
  <c r="Z3" i="1"/>
  <c r="Z4" i="1"/>
  <c r="Z5" i="1"/>
  <c r="Z6" i="1"/>
  <c r="Z7" i="1"/>
  <c r="Z8" i="1"/>
  <c r="Z9" i="1"/>
  <c r="Z10" i="1"/>
  <c r="Z11" i="1"/>
  <c r="Z12" i="1"/>
  <c r="Z2" i="1"/>
</calcChain>
</file>

<file path=xl/sharedStrings.xml><?xml version="1.0" encoding="utf-8"?>
<sst xmlns="http://schemas.openxmlformats.org/spreadsheetml/2006/main" count="117" uniqueCount="11">
  <si>
    <t>y区间</t>
  </si>
  <si>
    <t>≤</t>
  </si>
  <si>
    <t>y</t>
  </si>
  <si>
    <t>=</t>
  </si>
  <si>
    <t>±</t>
  </si>
  <si>
    <t>dn/dy</t>
  </si>
  <si>
    <t>ylow</t>
    <phoneticPr fontId="2" type="noConversion"/>
  </si>
  <si>
    <t>yup</t>
    <phoneticPr fontId="2" type="noConversion"/>
  </si>
  <si>
    <t>dN/dy</t>
    <phoneticPr fontId="2" type="noConversion"/>
  </si>
  <si>
    <t>1/(Npart/2)</t>
    <phoneticPr fontId="2" type="noConversion"/>
  </si>
  <si>
    <t>https://link.aps.org/doi/10.1103/PhysRevC.83.014901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</si>
</sst>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rgb="FF0F1115"/>
      <name val="Segoe UI"/>
      <family val="2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aps.org/doi/10.1103/PhysRevC.83.0149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tabSelected="1" workbookViewId="0">
      <selection activeCell="U15" sqref="U15"/>
    </sheetView>
  </sheetViews>
  <sheetFormatPr defaultRowHeight="13.8" x14ac:dyDescent="0.25"/>
  <cols>
    <col min="13" max="19" width="0" hidden="1" customWidth="1"/>
  </cols>
  <sheetData>
    <row r="1" spans="1:27" x14ac:dyDescent="0.25">
      <c r="A1" s="2" t="s">
        <v>10</v>
      </c>
      <c r="X1" t="s">
        <v>6</v>
      </c>
      <c r="Y1" t="s">
        <v>7</v>
      </c>
      <c r="Z1" t="s">
        <v>8</v>
      </c>
      <c r="AA1" t="s">
        <v>9</v>
      </c>
    </row>
    <row r="2" spans="1:27" ht="15" x14ac:dyDescent="0.35">
      <c r="A2" s="1" t="s">
        <v>0</v>
      </c>
      <c r="B2">
        <v>-0.52</v>
      </c>
      <c r="C2" t="s">
        <v>1</v>
      </c>
      <c r="D2" t="s">
        <v>2</v>
      </c>
      <c r="E2" t="s">
        <v>1</v>
      </c>
      <c r="F2">
        <v>-0.32</v>
      </c>
      <c r="G2" t="s">
        <v>5</v>
      </c>
      <c r="H2" t="s">
        <v>3</v>
      </c>
      <c r="I2">
        <v>25.63</v>
      </c>
      <c r="J2" t="s">
        <v>4</v>
      </c>
      <c r="K2">
        <v>1.41</v>
      </c>
      <c r="M2">
        <v>-0.52</v>
      </c>
      <c r="N2" t="s">
        <v>1</v>
      </c>
      <c r="O2" t="s">
        <v>2</v>
      </c>
      <c r="P2" t="s">
        <v>1</v>
      </c>
      <c r="Q2">
        <v>-0.12</v>
      </c>
      <c r="R2" t="s">
        <v>5</v>
      </c>
      <c r="S2" t="s">
        <v>3</v>
      </c>
      <c r="T2">
        <v>1.61</v>
      </c>
      <c r="U2" t="s">
        <v>4</v>
      </c>
      <c r="V2">
        <v>0.13</v>
      </c>
      <c r="X2">
        <f>B2-2.91</f>
        <v>-3.43</v>
      </c>
      <c r="Y2">
        <f>F2-2.91</f>
        <v>-3.23</v>
      </c>
      <c r="Z2">
        <f>I2-T2</f>
        <v>24.02</v>
      </c>
      <c r="AA2">
        <f>2*Z2/352</f>
        <v>0.13647727272727272</v>
      </c>
    </row>
    <row r="3" spans="1:27" ht="15" x14ac:dyDescent="0.35">
      <c r="A3" s="1" t="s">
        <v>0</v>
      </c>
      <c r="B3">
        <v>-0.32</v>
      </c>
      <c r="C3" t="s">
        <v>1</v>
      </c>
      <c r="D3" t="s">
        <v>2</v>
      </c>
      <c r="E3" t="s">
        <v>1</v>
      </c>
      <c r="F3">
        <v>-0.12</v>
      </c>
      <c r="G3" t="s">
        <v>5</v>
      </c>
      <c r="H3" t="s">
        <v>3</v>
      </c>
      <c r="I3">
        <v>27.49</v>
      </c>
      <c r="J3" t="s">
        <v>4</v>
      </c>
      <c r="K3">
        <v>1.24</v>
      </c>
      <c r="T3">
        <v>1.61</v>
      </c>
      <c r="U3" t="s">
        <v>4</v>
      </c>
      <c r="V3">
        <v>0.13</v>
      </c>
      <c r="X3">
        <f t="shared" ref="X3:X12" si="0">B3-2.91</f>
        <v>-3.23</v>
      </c>
      <c r="Y3">
        <f t="shared" ref="Y3:Y12" si="1">F3-2.91</f>
        <v>-3.0300000000000002</v>
      </c>
      <c r="Z3">
        <f>I3-T3</f>
        <v>25.88</v>
      </c>
      <c r="AA3">
        <f>2*Z3/352</f>
        <v>0.14704545454545453</v>
      </c>
    </row>
    <row r="4" spans="1:27" ht="15" x14ac:dyDescent="0.35">
      <c r="A4" s="1" t="s">
        <v>0</v>
      </c>
      <c r="B4">
        <v>-0.12</v>
      </c>
      <c r="C4" t="s">
        <v>1</v>
      </c>
      <c r="D4" t="s">
        <v>2</v>
      </c>
      <c r="E4" t="s">
        <v>1</v>
      </c>
      <c r="F4">
        <v>0.08</v>
      </c>
      <c r="G4" t="s">
        <v>5</v>
      </c>
      <c r="H4" t="s">
        <v>3</v>
      </c>
      <c r="I4">
        <v>27.51</v>
      </c>
      <c r="J4" t="s">
        <v>4</v>
      </c>
      <c r="K4">
        <v>1.0900000000000001</v>
      </c>
      <c r="M4">
        <v>-0.12</v>
      </c>
      <c r="N4" t="s">
        <v>1</v>
      </c>
      <c r="O4" t="s">
        <v>2</v>
      </c>
      <c r="P4" t="s">
        <v>1</v>
      </c>
      <c r="Q4">
        <v>0.28000000000000003</v>
      </c>
      <c r="R4" t="s">
        <v>5</v>
      </c>
      <c r="S4" t="s">
        <v>3</v>
      </c>
      <c r="T4">
        <v>1.75</v>
      </c>
      <c r="U4" t="s">
        <v>4</v>
      </c>
      <c r="V4">
        <v>0.12</v>
      </c>
      <c r="X4">
        <f t="shared" si="0"/>
        <v>-3.0300000000000002</v>
      </c>
      <c r="Y4">
        <f t="shared" si="1"/>
        <v>-2.83</v>
      </c>
      <c r="Z4">
        <f>I4-T4</f>
        <v>25.76</v>
      </c>
      <c r="AA4">
        <f>2*Z4/352</f>
        <v>0.14636363636363636</v>
      </c>
    </row>
    <row r="5" spans="1:27" ht="15" x14ac:dyDescent="0.35">
      <c r="A5" s="1" t="s">
        <v>0</v>
      </c>
      <c r="B5">
        <v>0.08</v>
      </c>
      <c r="C5" t="s">
        <v>1</v>
      </c>
      <c r="D5" t="s">
        <v>2</v>
      </c>
      <c r="E5" t="s">
        <v>1</v>
      </c>
      <c r="F5">
        <v>0.28000000000000003</v>
      </c>
      <c r="G5" t="s">
        <v>5</v>
      </c>
      <c r="H5" t="s">
        <v>3</v>
      </c>
      <c r="I5">
        <v>28.07</v>
      </c>
      <c r="J5" t="s">
        <v>4</v>
      </c>
      <c r="K5">
        <v>1.01</v>
      </c>
      <c r="T5">
        <v>1.75</v>
      </c>
      <c r="U5" t="s">
        <v>4</v>
      </c>
      <c r="V5">
        <v>0.12</v>
      </c>
      <c r="X5">
        <f t="shared" si="0"/>
        <v>-2.83</v>
      </c>
      <c r="Y5">
        <f t="shared" si="1"/>
        <v>-2.63</v>
      </c>
      <c r="Z5">
        <f>I5-T5</f>
        <v>26.32</v>
      </c>
      <c r="AA5">
        <f>2*Z5/352</f>
        <v>0.14954545454545454</v>
      </c>
    </row>
    <row r="6" spans="1:27" ht="15" x14ac:dyDescent="0.35">
      <c r="A6" s="1" t="s">
        <v>0</v>
      </c>
      <c r="B6">
        <v>0.28000000000000003</v>
      </c>
      <c r="C6" t="s">
        <v>1</v>
      </c>
      <c r="D6" t="s">
        <v>2</v>
      </c>
      <c r="E6" t="s">
        <v>1</v>
      </c>
      <c r="F6">
        <v>0.48</v>
      </c>
      <c r="G6" t="s">
        <v>5</v>
      </c>
      <c r="H6" t="s">
        <v>3</v>
      </c>
      <c r="I6">
        <v>27.93</v>
      </c>
      <c r="J6" t="s">
        <v>4</v>
      </c>
      <c r="K6">
        <v>0.94</v>
      </c>
      <c r="M6">
        <v>0.28000000000000003</v>
      </c>
      <c r="N6" t="s">
        <v>1</v>
      </c>
      <c r="O6" t="s">
        <v>2</v>
      </c>
      <c r="P6" t="s">
        <v>1</v>
      </c>
      <c r="Q6">
        <v>0.68</v>
      </c>
      <c r="R6" t="s">
        <v>5</v>
      </c>
      <c r="S6" t="s">
        <v>3</v>
      </c>
      <c r="T6">
        <v>1.76</v>
      </c>
      <c r="U6" t="s">
        <v>4</v>
      </c>
      <c r="V6">
        <v>0.11</v>
      </c>
      <c r="X6">
        <f t="shared" si="0"/>
        <v>-2.63</v>
      </c>
      <c r="Y6">
        <f t="shared" si="1"/>
        <v>-2.4300000000000002</v>
      </c>
      <c r="Z6">
        <f>I6-T6</f>
        <v>26.169999999999998</v>
      </c>
      <c r="AA6">
        <f>2*Z6/352</f>
        <v>0.14869318181818181</v>
      </c>
    </row>
    <row r="7" spans="1:27" ht="15" x14ac:dyDescent="0.35">
      <c r="A7" s="1" t="s">
        <v>0</v>
      </c>
      <c r="B7">
        <v>0.48</v>
      </c>
      <c r="C7" t="s">
        <v>1</v>
      </c>
      <c r="D7" t="s">
        <v>2</v>
      </c>
      <c r="E7" t="s">
        <v>1</v>
      </c>
      <c r="F7">
        <v>0.68</v>
      </c>
      <c r="G7" t="s">
        <v>5</v>
      </c>
      <c r="H7" t="s">
        <v>3</v>
      </c>
      <c r="I7">
        <v>29.2</v>
      </c>
      <c r="J7" t="s">
        <v>4</v>
      </c>
      <c r="K7">
        <v>0.89</v>
      </c>
      <c r="T7">
        <v>1.76</v>
      </c>
      <c r="U7" t="s">
        <v>4</v>
      </c>
      <c r="V7">
        <v>0.11</v>
      </c>
      <c r="X7">
        <f t="shared" si="0"/>
        <v>-2.4300000000000002</v>
      </c>
      <c r="Y7">
        <f t="shared" si="1"/>
        <v>-2.23</v>
      </c>
      <c r="Z7">
        <f>I7-T7</f>
        <v>27.439999999999998</v>
      </c>
      <c r="AA7">
        <f>2*Z7/352</f>
        <v>0.15590909090909089</v>
      </c>
    </row>
    <row r="8" spans="1:27" ht="15" x14ac:dyDescent="0.35">
      <c r="A8" s="1" t="s">
        <v>0</v>
      </c>
      <c r="B8">
        <v>0.68</v>
      </c>
      <c r="C8" t="s">
        <v>1</v>
      </c>
      <c r="D8" t="s">
        <v>2</v>
      </c>
      <c r="E8" t="s">
        <v>1</v>
      </c>
      <c r="F8">
        <v>0.88</v>
      </c>
      <c r="G8" t="s">
        <v>5</v>
      </c>
      <c r="H8" t="s">
        <v>3</v>
      </c>
      <c r="I8">
        <v>31.3</v>
      </c>
      <c r="J8" t="s">
        <v>4</v>
      </c>
      <c r="K8">
        <v>0.88</v>
      </c>
      <c r="M8">
        <v>0.68</v>
      </c>
      <c r="N8" t="s">
        <v>1</v>
      </c>
      <c r="O8" t="s">
        <v>2</v>
      </c>
      <c r="P8" t="s">
        <v>1</v>
      </c>
      <c r="Q8">
        <v>1.08</v>
      </c>
      <c r="R8" t="s">
        <v>5</v>
      </c>
      <c r="S8" t="s">
        <v>3</v>
      </c>
      <c r="T8">
        <v>1.31</v>
      </c>
      <c r="U8" t="s">
        <v>4</v>
      </c>
      <c r="V8">
        <v>0.1</v>
      </c>
      <c r="X8">
        <f t="shared" si="0"/>
        <v>-2.23</v>
      </c>
      <c r="Y8">
        <f t="shared" si="1"/>
        <v>-2.0300000000000002</v>
      </c>
      <c r="Z8">
        <f>I8-T8</f>
        <v>29.990000000000002</v>
      </c>
      <c r="AA8">
        <f>2*Z8/352</f>
        <v>0.17039772727272728</v>
      </c>
    </row>
    <row r="9" spans="1:27" ht="15" x14ac:dyDescent="0.35">
      <c r="A9" s="1" t="s">
        <v>0</v>
      </c>
      <c r="B9">
        <v>0.88</v>
      </c>
      <c r="C9" t="s">
        <v>1</v>
      </c>
      <c r="D9" t="s">
        <v>2</v>
      </c>
      <c r="E9" t="s">
        <v>1</v>
      </c>
      <c r="F9">
        <v>1.08</v>
      </c>
      <c r="G9" t="s">
        <v>5</v>
      </c>
      <c r="H9" t="s">
        <v>3</v>
      </c>
      <c r="I9">
        <v>30.51</v>
      </c>
      <c r="J9" t="s">
        <v>4</v>
      </c>
      <c r="K9">
        <v>0.85</v>
      </c>
      <c r="T9">
        <v>1.31</v>
      </c>
      <c r="U9" t="s">
        <v>4</v>
      </c>
      <c r="V9">
        <v>0.1</v>
      </c>
      <c r="X9">
        <f t="shared" si="0"/>
        <v>-2.0300000000000002</v>
      </c>
      <c r="Y9">
        <f t="shared" si="1"/>
        <v>-1.83</v>
      </c>
      <c r="Z9">
        <f>I9-T9</f>
        <v>29.200000000000003</v>
      </c>
      <c r="AA9">
        <f>2*Z9/352</f>
        <v>0.16590909090909092</v>
      </c>
    </row>
    <row r="10" spans="1:27" ht="15" x14ac:dyDescent="0.35">
      <c r="A10" s="1" t="s">
        <v>0</v>
      </c>
      <c r="B10">
        <v>1.08</v>
      </c>
      <c r="C10" t="s">
        <v>1</v>
      </c>
      <c r="D10" t="s">
        <v>2</v>
      </c>
      <c r="E10" t="s">
        <v>1</v>
      </c>
      <c r="F10">
        <v>1.28</v>
      </c>
      <c r="G10" t="s">
        <v>5</v>
      </c>
      <c r="H10" t="s">
        <v>3</v>
      </c>
      <c r="I10">
        <v>32.35</v>
      </c>
      <c r="J10" t="s">
        <v>4</v>
      </c>
      <c r="K10">
        <v>1.05</v>
      </c>
      <c r="M10">
        <v>1.08</v>
      </c>
      <c r="N10" t="s">
        <v>1</v>
      </c>
      <c r="O10" t="s">
        <v>2</v>
      </c>
      <c r="P10" t="s">
        <v>1</v>
      </c>
      <c r="Q10">
        <v>1.48</v>
      </c>
      <c r="R10" t="s">
        <v>5</v>
      </c>
      <c r="S10" t="s">
        <v>3</v>
      </c>
      <c r="T10">
        <v>0.6</v>
      </c>
      <c r="U10" t="s">
        <v>4</v>
      </c>
      <c r="V10">
        <v>0.1</v>
      </c>
      <c r="X10">
        <f t="shared" si="0"/>
        <v>-1.83</v>
      </c>
      <c r="Y10">
        <f t="shared" si="1"/>
        <v>-1.6300000000000001</v>
      </c>
      <c r="Z10">
        <f>I10-T10</f>
        <v>31.75</v>
      </c>
      <c r="AA10">
        <f>2*Z10/352</f>
        <v>0.18039772727272727</v>
      </c>
    </row>
    <row r="11" spans="1:27" ht="15" x14ac:dyDescent="0.35">
      <c r="A11" s="1" t="s">
        <v>0</v>
      </c>
      <c r="B11">
        <v>1.28</v>
      </c>
      <c r="C11" t="s">
        <v>1</v>
      </c>
      <c r="D11" t="s">
        <v>2</v>
      </c>
      <c r="E11" t="s">
        <v>1</v>
      </c>
      <c r="F11">
        <v>1.48</v>
      </c>
      <c r="G11" t="s">
        <v>5</v>
      </c>
      <c r="H11" t="s">
        <v>3</v>
      </c>
      <c r="I11">
        <v>38.840000000000003</v>
      </c>
      <c r="J11" t="s">
        <v>4</v>
      </c>
      <c r="K11">
        <v>3.43</v>
      </c>
      <c r="T11">
        <v>0.6</v>
      </c>
      <c r="U11" t="s">
        <v>4</v>
      </c>
      <c r="V11">
        <v>0.1</v>
      </c>
      <c r="X11">
        <f t="shared" si="0"/>
        <v>-1.6300000000000001</v>
      </c>
      <c r="Y11">
        <f t="shared" si="1"/>
        <v>-1.4300000000000002</v>
      </c>
      <c r="Z11">
        <f>I11-T11</f>
        <v>38.24</v>
      </c>
      <c r="AA11">
        <f>2*Z11/352</f>
        <v>0.21727272727272728</v>
      </c>
    </row>
    <row r="12" spans="1:27" ht="15" x14ac:dyDescent="0.35">
      <c r="A12" s="1" t="s">
        <v>0</v>
      </c>
      <c r="B12">
        <v>1.48</v>
      </c>
      <c r="C12" t="s">
        <v>1</v>
      </c>
      <c r="D12" t="s">
        <v>2</v>
      </c>
      <c r="E12" t="s">
        <v>1</v>
      </c>
      <c r="F12">
        <v>1.68</v>
      </c>
      <c r="G12" t="s">
        <v>5</v>
      </c>
      <c r="H12" t="s">
        <v>3</v>
      </c>
      <c r="I12">
        <v>39.35</v>
      </c>
      <c r="J12" t="s">
        <v>4</v>
      </c>
      <c r="K12">
        <v>2</v>
      </c>
      <c r="T12">
        <v>0</v>
      </c>
      <c r="V12">
        <v>0</v>
      </c>
      <c r="X12">
        <f t="shared" si="0"/>
        <v>-1.4300000000000002</v>
      </c>
      <c r="Y12">
        <f t="shared" si="1"/>
        <v>-1.2300000000000002</v>
      </c>
      <c r="Z12">
        <f>I12-T12</f>
        <v>39.35</v>
      </c>
      <c r="AA12">
        <f>2*Z12/352</f>
        <v>0.22357954545454548</v>
      </c>
    </row>
    <row r="14" spans="1:27" ht="15" x14ac:dyDescent="0.35">
      <c r="A14" s="1"/>
    </row>
    <row r="15" spans="1:27" ht="15" x14ac:dyDescent="0.35">
      <c r="A15" s="1"/>
    </row>
    <row r="16" spans="1:27" ht="15" x14ac:dyDescent="0.35">
      <c r="A16" s="1"/>
    </row>
    <row r="17" spans="1:1" ht="15" x14ac:dyDescent="0.35">
      <c r="A17" s="1"/>
    </row>
    <row r="18" spans="1:1" ht="15" x14ac:dyDescent="0.35">
      <c r="A18" s="1"/>
    </row>
  </sheetData>
  <phoneticPr fontId="2" type="noConversion"/>
  <hyperlinks>
    <hyperlink ref="A1" r:id="rId1" xr:uid="{C0485903-CAD2-4AFC-BE24-82C0599D57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xzyu</dc:creator>
  <cp:lastModifiedBy>xzyu</cp:lastModifiedBy>
  <dcterms:created xsi:type="dcterms:W3CDTF">2015-06-05T18:19:34Z</dcterms:created>
  <dcterms:modified xsi:type="dcterms:W3CDTF">2025-12-22T11:18:11Z</dcterms:modified>
</cp:coreProperties>
</file>