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\\wsl.localhost\Ubuntu-20.04\home\xiaozhou\WorkSpace\NuclearModel\tglaubermc\runglauber_v3.3\BT\experimentData\raw\"/>
    </mc:Choice>
  </mc:AlternateContent>
  <xr:revisionPtr revIDLastSave="0" documentId="13_ncr:1_{D0BCA58D-F755-4B06-B9E5-E5796DD4F5B4}" xr6:coauthVersionLast="36" xr6:coauthVersionMax="36" xr10:uidLastSave="{00000000-0000-0000-0000-000000000000}"/>
  <bookViews>
    <workbookView xWindow="0" yWindow="0" windowWidth="30720" windowHeight="13332" xr2:uid="{00000000-000D-0000-FFFF-FFFF00000000}"/>
  </bookViews>
  <sheets>
    <sheet name="2011 158A" sheetId="1" r:id="rId1"/>
    <sheet name="1999 158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V16" i="1" l="1"/>
  <c r="AV29" i="1"/>
  <c r="AV42" i="1"/>
  <c r="AV55" i="1"/>
  <c r="AL66" i="1"/>
  <c r="AL65" i="1"/>
  <c r="AL64" i="1"/>
  <c r="AL63" i="1"/>
  <c r="AL62" i="1"/>
  <c r="AL61" i="1"/>
  <c r="AL60" i="1"/>
  <c r="AL59" i="1"/>
  <c r="AL58" i="1"/>
  <c r="AL57" i="1"/>
  <c r="AL56" i="1"/>
  <c r="AL53" i="1"/>
  <c r="AL52" i="1"/>
  <c r="AL51" i="1"/>
  <c r="AL50" i="1"/>
  <c r="AL49" i="1"/>
  <c r="AL48" i="1"/>
  <c r="AL47" i="1"/>
  <c r="AL46" i="1"/>
  <c r="AL45" i="1"/>
  <c r="AL44" i="1"/>
  <c r="AL43" i="1"/>
  <c r="AL40" i="1"/>
  <c r="AL39" i="1"/>
  <c r="AL38" i="1"/>
  <c r="AL37" i="1"/>
  <c r="AL36" i="1"/>
  <c r="AL35" i="1"/>
  <c r="AL34" i="1"/>
  <c r="AL33" i="1"/>
  <c r="AL32" i="1"/>
  <c r="AL31" i="1"/>
  <c r="AL30" i="1"/>
  <c r="AL27" i="1"/>
  <c r="AL26" i="1"/>
  <c r="AL25" i="1"/>
  <c r="AL24" i="1"/>
  <c r="AL23" i="1"/>
  <c r="AL22" i="1"/>
  <c r="AL21" i="1"/>
  <c r="AL20" i="1"/>
  <c r="AL19" i="1"/>
  <c r="AL18" i="1"/>
  <c r="AL17" i="1"/>
  <c r="AL14" i="1"/>
  <c r="AL13" i="1"/>
  <c r="AL12" i="1"/>
  <c r="AL11" i="1"/>
  <c r="AL10" i="1"/>
  <c r="AL9" i="1"/>
  <c r="AL8" i="1"/>
  <c r="AL7" i="1"/>
  <c r="AL6" i="1"/>
  <c r="AL5" i="1"/>
  <c r="AL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3" i="1"/>
  <c r="AQ64" i="1"/>
  <c r="AQ65" i="1"/>
  <c r="AQ66" i="1"/>
  <c r="AQ5" i="1"/>
  <c r="AQ6" i="1"/>
  <c r="AQ7" i="1"/>
  <c r="AQ8" i="1"/>
  <c r="AQ9" i="1"/>
  <c r="AQ10" i="1"/>
  <c r="AQ11" i="1"/>
  <c r="AQ12" i="1"/>
  <c r="AQ13" i="1"/>
  <c r="AQ14" i="1"/>
  <c r="AQ4" i="1"/>
  <c r="AO5" i="1"/>
  <c r="AV5" i="1" s="1"/>
  <c r="AO6" i="1"/>
  <c r="AV6" i="1" s="1"/>
  <c r="AO7" i="1"/>
  <c r="AV7" i="1" s="1"/>
  <c r="AO8" i="1"/>
  <c r="AV8" i="1" s="1"/>
  <c r="AO9" i="1"/>
  <c r="AV9" i="1" s="1"/>
  <c r="AO10" i="1"/>
  <c r="AV10" i="1" s="1"/>
  <c r="AO11" i="1"/>
  <c r="AV11" i="1" s="1"/>
  <c r="AO12" i="1"/>
  <c r="AV12" i="1" s="1"/>
  <c r="AO13" i="1"/>
  <c r="AV13" i="1" s="1"/>
  <c r="AO14" i="1"/>
  <c r="AV14" i="1" s="1"/>
  <c r="AO15" i="1"/>
  <c r="AS15" i="1" s="1"/>
  <c r="AO17" i="1"/>
  <c r="AS17" i="1" s="1"/>
  <c r="AO18" i="1"/>
  <c r="AS18" i="1" s="1"/>
  <c r="AO19" i="1"/>
  <c r="AS19" i="1" s="1"/>
  <c r="AO20" i="1"/>
  <c r="AS20" i="1" s="1"/>
  <c r="AO21" i="1"/>
  <c r="AV21" i="1" s="1"/>
  <c r="AO22" i="1"/>
  <c r="AV22" i="1" s="1"/>
  <c r="AO23" i="1"/>
  <c r="AV23" i="1" s="1"/>
  <c r="AO24" i="1"/>
  <c r="AV24" i="1" s="1"/>
  <c r="AO25" i="1"/>
  <c r="AV25" i="1" s="1"/>
  <c r="AO26" i="1"/>
  <c r="AV26" i="1" s="1"/>
  <c r="AO27" i="1"/>
  <c r="AV27" i="1" s="1"/>
  <c r="AO28" i="1"/>
  <c r="AV28" i="1" s="1"/>
  <c r="AO30" i="1"/>
  <c r="AV30" i="1" s="1"/>
  <c r="AO31" i="1"/>
  <c r="AV31" i="1" s="1"/>
  <c r="AO32" i="1"/>
  <c r="AS32" i="1" s="1"/>
  <c r="AO33" i="1"/>
  <c r="AS33" i="1" s="1"/>
  <c r="AO34" i="1"/>
  <c r="AS34" i="1" s="1"/>
  <c r="AO35" i="1"/>
  <c r="AS35" i="1" s="1"/>
  <c r="AO36" i="1"/>
  <c r="AS36" i="1" s="1"/>
  <c r="AO37" i="1"/>
  <c r="AV37" i="1" s="1"/>
  <c r="AO38" i="1"/>
  <c r="AV38" i="1" s="1"/>
  <c r="AO39" i="1"/>
  <c r="AV39" i="1" s="1"/>
  <c r="AO40" i="1"/>
  <c r="AS40" i="1" s="1"/>
  <c r="AO41" i="1"/>
  <c r="AS41" i="1" s="1"/>
  <c r="AO43" i="1"/>
  <c r="AV43" i="1" s="1"/>
  <c r="AO44" i="1"/>
  <c r="AV44" i="1" s="1"/>
  <c r="AO45" i="1"/>
  <c r="AV45" i="1" s="1"/>
  <c r="AO46" i="1"/>
  <c r="AV46" i="1" s="1"/>
  <c r="AO47" i="1"/>
  <c r="AV47" i="1" s="1"/>
  <c r="AO48" i="1"/>
  <c r="AV48" i="1" s="1"/>
  <c r="AO49" i="1"/>
  <c r="AS49" i="1" s="1"/>
  <c r="AO50" i="1"/>
  <c r="AS50" i="1" s="1"/>
  <c r="AO51" i="1"/>
  <c r="AS51" i="1" s="1"/>
  <c r="AO52" i="1"/>
  <c r="AS52" i="1" s="1"/>
  <c r="AO53" i="1"/>
  <c r="AV53" i="1" s="1"/>
  <c r="AO54" i="1"/>
  <c r="AV54" i="1" s="1"/>
  <c r="AO56" i="1"/>
  <c r="AV56" i="1" s="1"/>
  <c r="AO57" i="1"/>
  <c r="AV57" i="1" s="1"/>
  <c r="AO58" i="1"/>
  <c r="AV58" i="1" s="1"/>
  <c r="AO59" i="1"/>
  <c r="AV59" i="1" s="1"/>
  <c r="AO60" i="1"/>
  <c r="AS60" i="1" s="1"/>
  <c r="AO61" i="1"/>
  <c r="AS61" i="1" s="1"/>
  <c r="AO62" i="1"/>
  <c r="AV62" i="1" s="1"/>
  <c r="AO63" i="1"/>
  <c r="AV63" i="1" s="1"/>
  <c r="AO64" i="1"/>
  <c r="AV64" i="1" s="1"/>
  <c r="AO65" i="1"/>
  <c r="AV65" i="1" s="1"/>
  <c r="AO66" i="1"/>
  <c r="AV66" i="1" s="1"/>
  <c r="AO4" i="1"/>
  <c r="AV4" i="1" s="1"/>
  <c r="AS59" i="1" l="1"/>
  <c r="AS58" i="1"/>
  <c r="AV61" i="1"/>
  <c r="AS57" i="1"/>
  <c r="AV60" i="1"/>
  <c r="AS31" i="1"/>
  <c r="AS30" i="1"/>
  <c r="AS27" i="1"/>
  <c r="AS26" i="1"/>
  <c r="AS25" i="1"/>
  <c r="AS22" i="1"/>
  <c r="AS6" i="1"/>
  <c r="AS8" i="1"/>
  <c r="AS7" i="1"/>
  <c r="AV52" i="1"/>
  <c r="AS5" i="1"/>
  <c r="AV41" i="1"/>
  <c r="AV40" i="1"/>
  <c r="AV36" i="1"/>
  <c r="AV35" i="1"/>
  <c r="AS28" i="1"/>
  <c r="AV34" i="1"/>
  <c r="AV33" i="1"/>
  <c r="AS48" i="1"/>
  <c r="AS24" i="1"/>
  <c r="AV32" i="1"/>
  <c r="AS47" i="1"/>
  <c r="AS23" i="1"/>
  <c r="AV51" i="1"/>
  <c r="AS46" i="1"/>
  <c r="AV50" i="1"/>
  <c r="AS45" i="1"/>
  <c r="AS14" i="1"/>
  <c r="AV49" i="1"/>
  <c r="AS4" i="1"/>
  <c r="AS44" i="1"/>
  <c r="AS13" i="1"/>
  <c r="AS66" i="1"/>
  <c r="AS12" i="1"/>
  <c r="AS65" i="1"/>
  <c r="AS11" i="1"/>
  <c r="AV20" i="1"/>
  <c r="AS64" i="1"/>
  <c r="AS10" i="1"/>
  <c r="AV19" i="1"/>
  <c r="AS43" i="1"/>
  <c r="AS63" i="1"/>
  <c r="AS39" i="1"/>
  <c r="AS9" i="1"/>
  <c r="AV17" i="1"/>
  <c r="AS62" i="1"/>
  <c r="AV18" i="1"/>
  <c r="AV15" i="1"/>
  <c r="AS56" i="1"/>
  <c r="AS38" i="1"/>
  <c r="AS21" i="1"/>
  <c r="AS37" i="1"/>
  <c r="AS54" i="1"/>
  <c r="AS53" i="1"/>
  <c r="J16" i="2"/>
  <c r="I16" i="2"/>
  <c r="K16" i="2"/>
  <c r="J1" i="2"/>
  <c r="K1" i="2"/>
  <c r="J2" i="2"/>
  <c r="K2" i="2"/>
  <c r="J3" i="2"/>
  <c r="K3" i="2"/>
  <c r="J4" i="2"/>
  <c r="K4" i="2"/>
  <c r="J5" i="2"/>
  <c r="K5" i="2"/>
  <c r="J6" i="2"/>
  <c r="K6" i="2"/>
  <c r="J7" i="2"/>
  <c r="K7" i="2"/>
  <c r="J8" i="2"/>
  <c r="K8" i="2"/>
  <c r="J9" i="2"/>
  <c r="K9" i="2"/>
  <c r="J10" i="2"/>
  <c r="K10" i="2"/>
  <c r="J11" i="2"/>
  <c r="K11" i="2"/>
  <c r="J12" i="2"/>
  <c r="K12" i="2"/>
  <c r="J13" i="2"/>
  <c r="K13" i="2"/>
  <c r="J14" i="2"/>
  <c r="K14" i="2"/>
  <c r="J15" i="2"/>
  <c r="K15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" i="2"/>
  <c r="I18" i="1"/>
  <c r="I19" i="1"/>
  <c r="I20" i="1"/>
  <c r="I21" i="1"/>
  <c r="I22" i="1"/>
  <c r="I23" i="1"/>
  <c r="I24" i="1"/>
  <c r="I25" i="1"/>
  <c r="I26" i="1"/>
  <c r="I27" i="1"/>
  <c r="I17" i="1"/>
  <c r="H18" i="1"/>
  <c r="H19" i="1"/>
  <c r="H20" i="1"/>
  <c r="H21" i="1"/>
  <c r="H22" i="1"/>
  <c r="H23" i="1"/>
  <c r="H24" i="1"/>
  <c r="H25" i="1"/>
  <c r="H26" i="1"/>
  <c r="H27" i="1"/>
  <c r="H17" i="1"/>
  <c r="D18" i="1"/>
  <c r="D19" i="1"/>
  <c r="D20" i="1"/>
  <c r="D21" i="1"/>
  <c r="D22" i="1"/>
  <c r="D23" i="1"/>
  <c r="D24" i="1"/>
  <c r="D25" i="1"/>
  <c r="D26" i="1"/>
  <c r="D27" i="1"/>
  <c r="D17" i="1"/>
  <c r="Y3" i="1" l="1"/>
  <c r="Y4" i="1"/>
  <c r="Y5" i="1"/>
  <c r="Y6" i="1"/>
  <c r="Y7" i="1"/>
  <c r="Y8" i="1"/>
  <c r="Y9" i="1"/>
  <c r="Y10" i="1"/>
  <c r="Y11" i="1"/>
  <c r="Y12" i="1"/>
  <c r="Y2" i="1"/>
  <c r="X3" i="1"/>
  <c r="X4" i="1"/>
  <c r="X5" i="1"/>
  <c r="X6" i="1"/>
  <c r="X7" i="1"/>
  <c r="X8" i="1"/>
  <c r="X9" i="1"/>
  <c r="X10" i="1"/>
  <c r="X11" i="1"/>
  <c r="X12" i="1"/>
  <c r="X2" i="1"/>
  <c r="AA3" i="1"/>
  <c r="AA4" i="1"/>
  <c r="AA5" i="1"/>
  <c r="AA6" i="1"/>
  <c r="AA7" i="1"/>
  <c r="AA8" i="1"/>
  <c r="AA9" i="1"/>
  <c r="AA10" i="1"/>
  <c r="AA11" i="1"/>
  <c r="AA12" i="1"/>
  <c r="Z3" i="1"/>
  <c r="Z4" i="1"/>
  <c r="Z5" i="1"/>
  <c r="Z6" i="1"/>
  <c r="Z7" i="1"/>
  <c r="Z8" i="1"/>
  <c r="Z9" i="1"/>
  <c r="Z10" i="1"/>
  <c r="Z11" i="1"/>
  <c r="Z12" i="1"/>
  <c r="Z2" i="1"/>
  <c r="AA2" i="1" s="1"/>
</calcChain>
</file>

<file path=xl/sharedStrings.xml><?xml version="1.0" encoding="utf-8"?>
<sst xmlns="http://schemas.openxmlformats.org/spreadsheetml/2006/main" count="341" uniqueCount="40">
  <si>
    <t>y区间</t>
  </si>
  <si>
    <t>≤</t>
  </si>
  <si>
    <t>y</t>
  </si>
  <si>
    <t>=</t>
  </si>
  <si>
    <t>±</t>
  </si>
  <si>
    <t>dn/dy</t>
  </si>
  <si>
    <t>dN/dy</t>
    <phoneticPr fontId="2" type="noConversion"/>
  </si>
  <si>
    <t>1/(Npart/2)</t>
    <phoneticPr fontId="2" type="noConversion"/>
  </si>
  <si>
    <t>https://link.aps.org/doi/10.1103/PhysRevC.83.014901</t>
    <phoneticPr fontId="2" type="noConversion"/>
  </si>
  <si>
    <t>dylow</t>
    <phoneticPr fontId="2" type="noConversion"/>
  </si>
  <si>
    <t>dyup</t>
    <phoneticPr fontId="2" type="noConversion"/>
  </si>
  <si>
    <t xml:space="preserve">rapidity </t>
    <phoneticPr fontId="2" type="noConversion"/>
  </si>
  <si>
    <t>net baryon dn/dy</t>
    <phoneticPr fontId="2" type="noConversion"/>
  </si>
  <si>
    <t xml:space="preserve">net proton dn/dy </t>
    <phoneticPr fontId="2" type="noConversion"/>
  </si>
  <si>
    <t>proton</t>
    <phoneticPr fontId="2" type="noConversion"/>
  </si>
  <si>
    <r>
      <t>y</t>
    </r>
    <r>
      <rPr>
        <b/>
        <i/>
        <sz val="13.3"/>
        <color rgb="FF0F1115"/>
        <rFont val="KaTeX_Math"/>
        <family val="2"/>
      </rPr>
      <t>y</t>
    </r>
    <r>
      <rPr>
        <b/>
        <sz val="10"/>
        <color rgb="FF0F1115"/>
        <rFont val="Segoe UI"/>
        <family val="2"/>
      </rPr>
      <t> 区间</t>
    </r>
  </si>
  <si>
    <t>C0</t>
  </si>
  <si>
    <t>C1</t>
  </si>
  <si>
    <t>C2</t>
  </si>
  <si>
    <t>C3</t>
  </si>
  <si>
    <t>C4</t>
  </si>
  <si>
    <t>-0.52 ≤ y ≤ -0.32</t>
  </si>
  <si>
    <t>-0.32 ≤ y ≤ -0.12</t>
  </si>
  <si>
    <t>-0.12 ≤ y ≤ 0.08</t>
  </si>
  <si>
    <t>0.08 ≤ y ≤ 0.28</t>
  </si>
  <si>
    <t>0.28 ≤ y ≤ 0.48</t>
  </si>
  <si>
    <t>0.48 ≤ y ≤ 0.68</t>
  </si>
  <si>
    <t>0.68 ≤ y ≤ 0.88</t>
  </si>
  <si>
    <t>0.88 ≤ y ≤ 1.08</t>
  </si>
  <si>
    <t>1.08 ≤ y ≤ 1.28</t>
  </si>
  <si>
    <t>1.28 ≤ y ≤ 1.48</t>
  </si>
  <si>
    <t>1.48 ≤ y ≤ 1.68</t>
  </si>
  <si>
    <t>anti proton</t>
    <phoneticPr fontId="2" type="noConversion"/>
  </si>
  <si>
    <t>-0.52 ≤ y ≤ -0.12</t>
  </si>
  <si>
    <t>-0.12 ≤ y ≤ 0.28</t>
  </si>
  <si>
    <t>0.28 ≤ y ≤ 0.68</t>
  </si>
  <si>
    <t>0.68 ≤ y ≤ 1.08</t>
  </si>
  <si>
    <t>1.08 ≤ y ≤ 1.48</t>
  </si>
  <si>
    <t>Nw</t>
    <phoneticPr fontId="2" type="noConversion"/>
  </si>
  <si>
    <t>,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</si>
</sst>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0" formatCode="0.00_);[Red]\(0.00\)"/>
    <numFmt numFmtId="187" formatCode="0.0000000_);[Red]\(0.0000000\)"/>
  </numFmts>
  <fonts count="6">
    <font>
      <sz val="11"/>
      <color theme="1"/>
      <name val="等线"/>
      <family val="2"/>
      <scheme val="minor"/>
    </font>
    <font>
      <sz val="10"/>
      <color rgb="FF0F1115"/>
      <name val="Segoe UI"/>
      <family val="2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b/>
      <sz val="10"/>
      <color rgb="FF0F1115"/>
      <name val="Segoe UI"/>
      <family val="2"/>
    </font>
    <font>
      <b/>
      <i/>
      <sz val="13.3"/>
      <color rgb="FF0F1115"/>
      <name val="KaTeX_Math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3" fillId="0" borderId="0" xfId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80" fontId="0" fillId="0" borderId="0" xfId="0" applyNumberFormat="1"/>
    <xf numFmtId="187" fontId="0" fillId="0" borderId="0" xfId="0" applyNumberForma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link.aps.org/doi/10.1103/PhysRevC.83.01490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66"/>
  <sheetViews>
    <sheetView tabSelected="1" topLeftCell="AG1" zoomScale="145" zoomScaleNormal="145" workbookViewId="0">
      <selection activeCell="AL13" sqref="AL13"/>
    </sheetView>
  </sheetViews>
  <sheetFormatPr defaultRowHeight="13.8"/>
  <cols>
    <col min="13" max="19" width="0" hidden="1" customWidth="1"/>
    <col min="31" max="31" width="18.33203125" bestFit="1" customWidth="1"/>
    <col min="32" max="32" width="12.109375" bestFit="1" customWidth="1"/>
    <col min="33" max="33" width="12.109375" customWidth="1"/>
    <col min="34" max="34" width="3.77734375" customWidth="1"/>
    <col min="35" max="35" width="12.109375" customWidth="1"/>
    <col min="36" max="36" width="12.109375" bestFit="1" customWidth="1"/>
    <col min="37" max="40" width="12.109375" customWidth="1"/>
    <col min="41" max="41" width="12.109375" bestFit="1" customWidth="1"/>
    <col min="42" max="44" width="12.109375" customWidth="1"/>
    <col min="45" max="45" width="12.109375" bestFit="1" customWidth="1"/>
    <col min="48" max="48" width="18.33203125" bestFit="1" customWidth="1"/>
    <col min="49" max="51" width="11" bestFit="1" customWidth="1"/>
    <col min="52" max="52" width="12.109375" bestFit="1" customWidth="1"/>
    <col min="53" max="53" width="11" bestFit="1" customWidth="1"/>
  </cols>
  <sheetData>
    <row r="1" spans="1:48">
      <c r="A1" s="2" t="s">
        <v>8</v>
      </c>
      <c r="X1" t="s">
        <v>9</v>
      </c>
      <c r="Y1" t="s">
        <v>10</v>
      </c>
      <c r="Z1" t="s">
        <v>6</v>
      </c>
      <c r="AA1" t="s">
        <v>7</v>
      </c>
    </row>
    <row r="2" spans="1:48" ht="15">
      <c r="A2" s="1" t="s">
        <v>0</v>
      </c>
      <c r="B2">
        <v>-0.52</v>
      </c>
      <c r="C2" t="s">
        <v>1</v>
      </c>
      <c r="D2" t="s">
        <v>2</v>
      </c>
      <c r="E2" t="s">
        <v>1</v>
      </c>
      <c r="F2">
        <v>-0.32</v>
      </c>
      <c r="G2" t="s">
        <v>5</v>
      </c>
      <c r="H2" t="s">
        <v>3</v>
      </c>
      <c r="I2">
        <v>25.63</v>
      </c>
      <c r="J2" t="s">
        <v>4</v>
      </c>
      <c r="K2">
        <v>1.41</v>
      </c>
      <c r="M2">
        <v>-0.52</v>
      </c>
      <c r="N2" t="s">
        <v>1</v>
      </c>
      <c r="O2" t="s">
        <v>2</v>
      </c>
      <c r="P2" t="s">
        <v>1</v>
      </c>
      <c r="Q2">
        <v>-0.12</v>
      </c>
      <c r="R2" t="s">
        <v>5</v>
      </c>
      <c r="S2" t="s">
        <v>3</v>
      </c>
      <c r="T2">
        <v>1.61</v>
      </c>
      <c r="U2" t="s">
        <v>4</v>
      </c>
      <c r="V2">
        <v>0.13</v>
      </c>
      <c r="X2">
        <f>B2-2.91</f>
        <v>-3.43</v>
      </c>
      <c r="Y2">
        <f>F2-2.91</f>
        <v>-3.23</v>
      </c>
      <c r="Z2">
        <f t="shared" ref="Z2:Z12" si="0">I2-T2</f>
        <v>24.02</v>
      </c>
      <c r="AA2">
        <f t="shared" ref="AA2:AA12" si="1">2*Z2/352</f>
        <v>0.13647727272727272</v>
      </c>
      <c r="AE2" t="s">
        <v>14</v>
      </c>
    </row>
    <row r="3" spans="1:48" ht="17.399999999999999">
      <c r="A3" s="1" t="s">
        <v>0</v>
      </c>
      <c r="B3">
        <v>-0.32</v>
      </c>
      <c r="C3" t="s">
        <v>1</v>
      </c>
      <c r="D3" t="s">
        <v>2</v>
      </c>
      <c r="E3" t="s">
        <v>1</v>
      </c>
      <c r="F3">
        <v>-0.12</v>
      </c>
      <c r="G3" t="s">
        <v>5</v>
      </c>
      <c r="H3" t="s">
        <v>3</v>
      </c>
      <c r="I3">
        <v>27.49</v>
      </c>
      <c r="J3" t="s">
        <v>4</v>
      </c>
      <c r="K3">
        <v>1.24</v>
      </c>
      <c r="T3">
        <v>1.61</v>
      </c>
      <c r="U3" t="s">
        <v>4</v>
      </c>
      <c r="V3">
        <v>0.13</v>
      </c>
      <c r="X3">
        <f t="shared" ref="X3:X12" si="2">B3-2.91</f>
        <v>-3.23</v>
      </c>
      <c r="Y3">
        <f t="shared" ref="Y3:Y12" si="3">F3-2.91</f>
        <v>-3.0300000000000002</v>
      </c>
      <c r="Z3">
        <f t="shared" si="0"/>
        <v>25.88</v>
      </c>
      <c r="AA3">
        <f t="shared" si="1"/>
        <v>0.14704545454545453</v>
      </c>
      <c r="AE3" t="s">
        <v>15</v>
      </c>
      <c r="AF3" t="s">
        <v>16</v>
      </c>
      <c r="AH3" t="s">
        <v>32</v>
      </c>
      <c r="AI3" t="s">
        <v>16</v>
      </c>
      <c r="AO3" t="s">
        <v>16</v>
      </c>
      <c r="AS3" t="s">
        <v>16</v>
      </c>
      <c r="AU3" t="s">
        <v>38</v>
      </c>
    </row>
    <row r="4" spans="1:48" ht="17.399999999999999">
      <c r="A4" s="1" t="s">
        <v>0</v>
      </c>
      <c r="B4">
        <v>-0.12</v>
      </c>
      <c r="C4" t="s">
        <v>1</v>
      </c>
      <c r="D4" t="s">
        <v>2</v>
      </c>
      <c r="E4" t="s">
        <v>1</v>
      </c>
      <c r="F4">
        <v>0.08</v>
      </c>
      <c r="G4" t="s">
        <v>5</v>
      </c>
      <c r="H4" t="s">
        <v>3</v>
      </c>
      <c r="I4">
        <v>27.51</v>
      </c>
      <c r="J4" t="s">
        <v>4</v>
      </c>
      <c r="K4">
        <v>1.0900000000000001</v>
      </c>
      <c r="M4">
        <v>-0.12</v>
      </c>
      <c r="N4" t="s">
        <v>1</v>
      </c>
      <c r="O4" t="s">
        <v>2</v>
      </c>
      <c r="P4" t="s">
        <v>1</v>
      </c>
      <c r="Q4">
        <v>0.28000000000000003</v>
      </c>
      <c r="R4" t="s">
        <v>5</v>
      </c>
      <c r="S4" t="s">
        <v>3</v>
      </c>
      <c r="T4">
        <v>1.75</v>
      </c>
      <c r="U4" t="s">
        <v>4</v>
      </c>
      <c r="V4">
        <v>0.12</v>
      </c>
      <c r="X4">
        <f t="shared" si="2"/>
        <v>-3.0300000000000002</v>
      </c>
      <c r="Y4">
        <f t="shared" si="3"/>
        <v>-2.83</v>
      </c>
      <c r="Z4">
        <f t="shared" si="0"/>
        <v>25.76</v>
      </c>
      <c r="AA4">
        <f t="shared" si="1"/>
        <v>0.14636363636363636</v>
      </c>
      <c r="AE4" t="s">
        <v>21</v>
      </c>
      <c r="AF4">
        <v>25.63</v>
      </c>
      <c r="AG4">
        <v>1.41</v>
      </c>
      <c r="AH4" t="s">
        <v>15</v>
      </c>
      <c r="AI4">
        <v>1.61</v>
      </c>
      <c r="AJ4">
        <v>0.13</v>
      </c>
      <c r="AL4">
        <f>(AM4+AN4)/2</f>
        <v>-0.42000000000000004</v>
      </c>
      <c r="AM4">
        <v>-0.52</v>
      </c>
      <c r="AN4">
        <v>-0.32</v>
      </c>
      <c r="AO4">
        <f>AF4-AI4</f>
        <v>24.02</v>
      </c>
      <c r="AQ4" s="5">
        <f>SQRT(AG4*AG4+AJ4*AJ4)</f>
        <v>1.4159802258506295</v>
      </c>
      <c r="AR4" s="5"/>
      <c r="AS4">
        <f>AO4*0.07</f>
        <v>1.6814000000000002</v>
      </c>
      <c r="AU4">
        <v>357</v>
      </c>
      <c r="AV4" s="6">
        <f>AO4/AU4</f>
        <v>6.7282913165266106E-2</v>
      </c>
    </row>
    <row r="5" spans="1:48" ht="15">
      <c r="A5" s="1" t="s">
        <v>0</v>
      </c>
      <c r="B5">
        <v>0.08</v>
      </c>
      <c r="C5" t="s">
        <v>1</v>
      </c>
      <c r="D5" t="s">
        <v>2</v>
      </c>
      <c r="E5" t="s">
        <v>1</v>
      </c>
      <c r="F5">
        <v>0.28000000000000003</v>
      </c>
      <c r="G5" t="s">
        <v>5</v>
      </c>
      <c r="H5" t="s">
        <v>3</v>
      </c>
      <c r="I5">
        <v>28.07</v>
      </c>
      <c r="J5" t="s">
        <v>4</v>
      </c>
      <c r="K5">
        <v>1.01</v>
      </c>
      <c r="T5">
        <v>1.75</v>
      </c>
      <c r="U5" t="s">
        <v>4</v>
      </c>
      <c r="V5">
        <v>0.12</v>
      </c>
      <c r="X5">
        <f t="shared" si="2"/>
        <v>-2.83</v>
      </c>
      <c r="Y5">
        <f t="shared" si="3"/>
        <v>-2.63</v>
      </c>
      <c r="Z5">
        <f t="shared" si="0"/>
        <v>26.32</v>
      </c>
      <c r="AA5">
        <f t="shared" si="1"/>
        <v>0.14954545454545454</v>
      </c>
      <c r="AE5" t="s">
        <v>22</v>
      </c>
      <c r="AF5">
        <v>27.49</v>
      </c>
      <c r="AG5">
        <v>1.24</v>
      </c>
      <c r="AH5" t="s">
        <v>33</v>
      </c>
      <c r="AI5">
        <v>1.61</v>
      </c>
      <c r="AJ5">
        <v>0.13</v>
      </c>
      <c r="AL5">
        <f t="shared" ref="AL5:AL14" si="4">(AM5+AN5)/2</f>
        <v>-0.22</v>
      </c>
      <c r="AM5">
        <v>-0.32</v>
      </c>
      <c r="AN5">
        <v>-0.12</v>
      </c>
      <c r="AO5">
        <f>AF5-AI5</f>
        <v>25.88</v>
      </c>
      <c r="AQ5" s="5">
        <f>SQRT(AG5*AG5+AJ5*AJ5)</f>
        <v>1.2467958934805647</v>
      </c>
      <c r="AR5" s="5"/>
      <c r="AS5">
        <f>AO5*0.07</f>
        <v>1.8116000000000001</v>
      </c>
      <c r="AU5">
        <v>357</v>
      </c>
      <c r="AV5" s="6">
        <f>AO5/AU5</f>
        <v>7.2492997198879555E-2</v>
      </c>
    </row>
    <row r="6" spans="1:48" ht="15">
      <c r="A6" s="1" t="s">
        <v>0</v>
      </c>
      <c r="B6">
        <v>0.28000000000000003</v>
      </c>
      <c r="C6" t="s">
        <v>1</v>
      </c>
      <c r="D6" t="s">
        <v>2</v>
      </c>
      <c r="E6" t="s">
        <v>1</v>
      </c>
      <c r="F6">
        <v>0.48</v>
      </c>
      <c r="G6" t="s">
        <v>5</v>
      </c>
      <c r="H6" t="s">
        <v>3</v>
      </c>
      <c r="I6">
        <v>27.93</v>
      </c>
      <c r="J6" t="s">
        <v>4</v>
      </c>
      <c r="K6">
        <v>0.94</v>
      </c>
      <c r="M6">
        <v>0.28000000000000003</v>
      </c>
      <c r="N6" t="s">
        <v>1</v>
      </c>
      <c r="O6" t="s">
        <v>2</v>
      </c>
      <c r="P6" t="s">
        <v>1</v>
      </c>
      <c r="Q6">
        <v>0.68</v>
      </c>
      <c r="R6" t="s">
        <v>5</v>
      </c>
      <c r="S6" t="s">
        <v>3</v>
      </c>
      <c r="T6">
        <v>1.76</v>
      </c>
      <c r="U6" t="s">
        <v>4</v>
      </c>
      <c r="V6">
        <v>0.11</v>
      </c>
      <c r="X6">
        <f t="shared" si="2"/>
        <v>-2.63</v>
      </c>
      <c r="Y6">
        <f t="shared" si="3"/>
        <v>-2.4300000000000002</v>
      </c>
      <c r="Z6">
        <f t="shared" si="0"/>
        <v>26.169999999999998</v>
      </c>
      <c r="AA6">
        <f t="shared" si="1"/>
        <v>0.14869318181818181</v>
      </c>
      <c r="AE6" t="s">
        <v>23</v>
      </c>
      <c r="AF6">
        <v>27.51</v>
      </c>
      <c r="AG6">
        <v>1.0900000000000001</v>
      </c>
      <c r="AH6" t="s">
        <v>33</v>
      </c>
      <c r="AI6">
        <v>1.75</v>
      </c>
      <c r="AJ6">
        <v>0.12</v>
      </c>
      <c r="AL6">
        <f t="shared" si="4"/>
        <v>-1.9999999999999997E-2</v>
      </c>
      <c r="AM6">
        <v>-0.12</v>
      </c>
      <c r="AN6">
        <v>0.08</v>
      </c>
      <c r="AO6">
        <f>AF6-AI6</f>
        <v>25.76</v>
      </c>
      <c r="AQ6" s="5">
        <f>SQRT(AG6*AG6+AJ6*AJ6)</f>
        <v>1.0965856099730655</v>
      </c>
      <c r="AR6" s="5"/>
      <c r="AS6">
        <f>AO6*0.07</f>
        <v>1.8032000000000004</v>
      </c>
      <c r="AU6">
        <v>357</v>
      </c>
      <c r="AV6" s="6">
        <f>AO6/AU6</f>
        <v>7.2156862745098041E-2</v>
      </c>
    </row>
    <row r="7" spans="1:48" ht="15">
      <c r="A7" s="1" t="s">
        <v>0</v>
      </c>
      <c r="B7">
        <v>0.48</v>
      </c>
      <c r="C7" t="s">
        <v>1</v>
      </c>
      <c r="D7" t="s">
        <v>2</v>
      </c>
      <c r="E7" t="s">
        <v>1</v>
      </c>
      <c r="F7">
        <v>0.68</v>
      </c>
      <c r="G7" t="s">
        <v>5</v>
      </c>
      <c r="H7" t="s">
        <v>3</v>
      </c>
      <c r="I7">
        <v>29.2</v>
      </c>
      <c r="J7" t="s">
        <v>4</v>
      </c>
      <c r="K7">
        <v>0.89</v>
      </c>
      <c r="T7">
        <v>1.76</v>
      </c>
      <c r="U7" t="s">
        <v>4</v>
      </c>
      <c r="V7">
        <v>0.11</v>
      </c>
      <c r="X7">
        <f t="shared" si="2"/>
        <v>-2.4300000000000002</v>
      </c>
      <c r="Y7">
        <f t="shared" si="3"/>
        <v>-2.23</v>
      </c>
      <c r="Z7">
        <f t="shared" si="0"/>
        <v>27.439999999999998</v>
      </c>
      <c r="AA7">
        <f t="shared" si="1"/>
        <v>0.15590909090909089</v>
      </c>
      <c r="AE7" t="s">
        <v>24</v>
      </c>
      <c r="AF7">
        <v>28.07</v>
      </c>
      <c r="AG7">
        <v>1.01</v>
      </c>
      <c r="AH7" t="s">
        <v>34</v>
      </c>
      <c r="AI7">
        <v>1.75</v>
      </c>
      <c r="AJ7">
        <v>0.12</v>
      </c>
      <c r="AL7">
        <f t="shared" si="4"/>
        <v>0.18000000000000002</v>
      </c>
      <c r="AM7">
        <v>0.08</v>
      </c>
      <c r="AN7">
        <v>0.28000000000000003</v>
      </c>
      <c r="AO7">
        <f>AF7-AI7</f>
        <v>26.32</v>
      </c>
      <c r="AQ7" s="5">
        <f>SQRT(AG7*AG7+AJ7*AJ7)</f>
        <v>1.0171037311896953</v>
      </c>
      <c r="AR7" s="5"/>
      <c r="AS7">
        <f>AO7*0.07</f>
        <v>1.8424000000000003</v>
      </c>
      <c r="AU7">
        <v>357</v>
      </c>
      <c r="AV7" s="6">
        <f>AO7/AU7</f>
        <v>7.3725490196078436E-2</v>
      </c>
    </row>
    <row r="8" spans="1:48" ht="15">
      <c r="A8" s="1" t="s">
        <v>0</v>
      </c>
      <c r="B8">
        <v>0.68</v>
      </c>
      <c r="C8" t="s">
        <v>1</v>
      </c>
      <c r="D8" t="s">
        <v>2</v>
      </c>
      <c r="E8" t="s">
        <v>1</v>
      </c>
      <c r="F8">
        <v>0.88</v>
      </c>
      <c r="G8" t="s">
        <v>5</v>
      </c>
      <c r="H8" t="s">
        <v>3</v>
      </c>
      <c r="I8">
        <v>31.3</v>
      </c>
      <c r="J8" t="s">
        <v>4</v>
      </c>
      <c r="K8">
        <v>0.88</v>
      </c>
      <c r="M8">
        <v>0.68</v>
      </c>
      <c r="N8" t="s">
        <v>1</v>
      </c>
      <c r="O8" t="s">
        <v>2</v>
      </c>
      <c r="P8" t="s">
        <v>1</v>
      </c>
      <c r="Q8">
        <v>1.08</v>
      </c>
      <c r="R8" t="s">
        <v>5</v>
      </c>
      <c r="S8" t="s">
        <v>3</v>
      </c>
      <c r="T8">
        <v>1.31</v>
      </c>
      <c r="U8" t="s">
        <v>4</v>
      </c>
      <c r="V8">
        <v>0.1</v>
      </c>
      <c r="X8">
        <f t="shared" si="2"/>
        <v>-2.23</v>
      </c>
      <c r="Y8">
        <f t="shared" si="3"/>
        <v>-2.0300000000000002</v>
      </c>
      <c r="Z8">
        <f t="shared" si="0"/>
        <v>29.990000000000002</v>
      </c>
      <c r="AA8">
        <f t="shared" si="1"/>
        <v>0.17039772727272728</v>
      </c>
      <c r="AE8" t="s">
        <v>25</v>
      </c>
      <c r="AF8">
        <v>27.93</v>
      </c>
      <c r="AG8">
        <v>0.94</v>
      </c>
      <c r="AH8" t="s">
        <v>34</v>
      </c>
      <c r="AI8">
        <v>1.76</v>
      </c>
      <c r="AJ8">
        <v>0.11</v>
      </c>
      <c r="AL8">
        <f t="shared" si="4"/>
        <v>0.38</v>
      </c>
      <c r="AM8">
        <v>0.28000000000000003</v>
      </c>
      <c r="AN8">
        <v>0.48</v>
      </c>
      <c r="AO8">
        <f>AF8-AI8</f>
        <v>26.169999999999998</v>
      </c>
      <c r="AQ8" s="5">
        <f>SQRT(AG8*AG8+AJ8*AJ8)</f>
        <v>0.94641428560646734</v>
      </c>
      <c r="AR8" s="5"/>
      <c r="AS8">
        <f>AO8*0.07</f>
        <v>1.8319000000000001</v>
      </c>
      <c r="AU8">
        <v>357</v>
      </c>
      <c r="AV8" s="6">
        <f>AO8/AU8</f>
        <v>7.3305322128851533E-2</v>
      </c>
    </row>
    <row r="9" spans="1:48" ht="15">
      <c r="A9" s="1" t="s">
        <v>0</v>
      </c>
      <c r="B9">
        <v>0.88</v>
      </c>
      <c r="C9" t="s">
        <v>1</v>
      </c>
      <c r="D9" t="s">
        <v>2</v>
      </c>
      <c r="E9" t="s">
        <v>1</v>
      </c>
      <c r="F9">
        <v>1.08</v>
      </c>
      <c r="G9" t="s">
        <v>5</v>
      </c>
      <c r="H9" t="s">
        <v>3</v>
      </c>
      <c r="I9">
        <v>30.51</v>
      </c>
      <c r="J9" t="s">
        <v>4</v>
      </c>
      <c r="K9">
        <v>0.85</v>
      </c>
      <c r="T9">
        <v>1.31</v>
      </c>
      <c r="U9" t="s">
        <v>4</v>
      </c>
      <c r="V9">
        <v>0.1</v>
      </c>
      <c r="X9">
        <f t="shared" si="2"/>
        <v>-2.0300000000000002</v>
      </c>
      <c r="Y9">
        <f t="shared" si="3"/>
        <v>-1.83</v>
      </c>
      <c r="Z9">
        <f t="shared" si="0"/>
        <v>29.200000000000003</v>
      </c>
      <c r="AA9">
        <f t="shared" si="1"/>
        <v>0.16590909090909092</v>
      </c>
      <c r="AE9" t="s">
        <v>26</v>
      </c>
      <c r="AF9">
        <v>29.2</v>
      </c>
      <c r="AG9">
        <v>0.89</v>
      </c>
      <c r="AH9" t="s">
        <v>35</v>
      </c>
      <c r="AI9">
        <v>1.76</v>
      </c>
      <c r="AJ9">
        <v>0.11</v>
      </c>
      <c r="AL9">
        <f t="shared" si="4"/>
        <v>0.58000000000000007</v>
      </c>
      <c r="AM9">
        <v>0.48</v>
      </c>
      <c r="AN9">
        <v>0.68</v>
      </c>
      <c r="AO9">
        <f>AF9-AI9</f>
        <v>27.439999999999998</v>
      </c>
      <c r="AQ9" s="5">
        <f>SQRT(AG9*AG9+AJ9*AJ9)</f>
        <v>0.89677198885781439</v>
      </c>
      <c r="AR9" s="5"/>
      <c r="AS9">
        <f>AO9*0.07</f>
        <v>1.9208000000000001</v>
      </c>
      <c r="AU9">
        <v>357</v>
      </c>
      <c r="AV9" s="6">
        <f>AO9/AU9</f>
        <v>7.6862745098039212E-2</v>
      </c>
    </row>
    <row r="10" spans="1:48" ht="15">
      <c r="A10" s="1" t="s">
        <v>0</v>
      </c>
      <c r="B10">
        <v>1.08</v>
      </c>
      <c r="C10" t="s">
        <v>1</v>
      </c>
      <c r="D10" t="s">
        <v>2</v>
      </c>
      <c r="E10" t="s">
        <v>1</v>
      </c>
      <c r="F10">
        <v>1.28</v>
      </c>
      <c r="G10" t="s">
        <v>5</v>
      </c>
      <c r="H10" t="s">
        <v>3</v>
      </c>
      <c r="I10">
        <v>32.35</v>
      </c>
      <c r="J10" t="s">
        <v>4</v>
      </c>
      <c r="K10">
        <v>1.05</v>
      </c>
      <c r="M10">
        <v>1.08</v>
      </c>
      <c r="N10" t="s">
        <v>1</v>
      </c>
      <c r="O10" t="s">
        <v>2</v>
      </c>
      <c r="P10" t="s">
        <v>1</v>
      </c>
      <c r="Q10">
        <v>1.48</v>
      </c>
      <c r="R10" t="s">
        <v>5</v>
      </c>
      <c r="S10" t="s">
        <v>3</v>
      </c>
      <c r="T10">
        <v>0.6</v>
      </c>
      <c r="U10" t="s">
        <v>4</v>
      </c>
      <c r="V10">
        <v>0.1</v>
      </c>
      <c r="X10">
        <f t="shared" si="2"/>
        <v>-1.83</v>
      </c>
      <c r="Y10">
        <f t="shared" si="3"/>
        <v>-1.6300000000000001</v>
      </c>
      <c r="Z10">
        <f t="shared" si="0"/>
        <v>31.75</v>
      </c>
      <c r="AA10">
        <f t="shared" si="1"/>
        <v>0.18039772727272727</v>
      </c>
      <c r="AE10" t="s">
        <v>27</v>
      </c>
      <c r="AF10">
        <v>31.3</v>
      </c>
      <c r="AG10">
        <v>0.88</v>
      </c>
      <c r="AH10" t="s">
        <v>35</v>
      </c>
      <c r="AI10">
        <v>1.31</v>
      </c>
      <c r="AJ10">
        <v>0.1</v>
      </c>
      <c r="AL10">
        <f t="shared" si="4"/>
        <v>0.78</v>
      </c>
      <c r="AM10">
        <v>0.68</v>
      </c>
      <c r="AN10">
        <v>0.88</v>
      </c>
      <c r="AO10">
        <f>AF10-AI10</f>
        <v>29.990000000000002</v>
      </c>
      <c r="AQ10" s="5">
        <f>SQRT(AG10*AG10+AJ10*AJ10)</f>
        <v>0.88566359301938113</v>
      </c>
      <c r="AR10" s="5"/>
      <c r="AS10">
        <f>AO10*0.07</f>
        <v>2.0993000000000004</v>
      </c>
      <c r="AU10">
        <v>357</v>
      </c>
      <c r="AV10" s="6">
        <f>AO10/AU10</f>
        <v>8.4005602240896371E-2</v>
      </c>
    </row>
    <row r="11" spans="1:48" ht="15">
      <c r="A11" s="1" t="s">
        <v>0</v>
      </c>
      <c r="B11">
        <v>1.28</v>
      </c>
      <c r="C11" t="s">
        <v>1</v>
      </c>
      <c r="D11" t="s">
        <v>2</v>
      </c>
      <c r="E11" t="s">
        <v>1</v>
      </c>
      <c r="F11">
        <v>1.48</v>
      </c>
      <c r="G11" t="s">
        <v>5</v>
      </c>
      <c r="H11" t="s">
        <v>3</v>
      </c>
      <c r="I11">
        <v>38.840000000000003</v>
      </c>
      <c r="J11" t="s">
        <v>4</v>
      </c>
      <c r="K11">
        <v>3.43</v>
      </c>
      <c r="T11">
        <v>0.6</v>
      </c>
      <c r="U11" t="s">
        <v>4</v>
      </c>
      <c r="V11">
        <v>0.1</v>
      </c>
      <c r="X11">
        <f t="shared" si="2"/>
        <v>-1.6300000000000001</v>
      </c>
      <c r="Y11">
        <f t="shared" si="3"/>
        <v>-1.4300000000000002</v>
      </c>
      <c r="Z11">
        <f t="shared" si="0"/>
        <v>38.24</v>
      </c>
      <c r="AA11">
        <f t="shared" si="1"/>
        <v>0.21727272727272728</v>
      </c>
      <c r="AE11" t="s">
        <v>28</v>
      </c>
      <c r="AF11">
        <v>30.51</v>
      </c>
      <c r="AG11">
        <v>0.85</v>
      </c>
      <c r="AH11" t="s">
        <v>36</v>
      </c>
      <c r="AI11">
        <v>1.31</v>
      </c>
      <c r="AJ11">
        <v>0.1</v>
      </c>
      <c r="AL11">
        <f t="shared" si="4"/>
        <v>0.98</v>
      </c>
      <c r="AM11">
        <v>0.88</v>
      </c>
      <c r="AN11">
        <v>1.08</v>
      </c>
      <c r="AO11">
        <f>AF11-AI11</f>
        <v>29.200000000000003</v>
      </c>
      <c r="AQ11" s="5">
        <f>SQRT(AG11*AG11+AJ11*AJ11)</f>
        <v>0.85586213843118442</v>
      </c>
      <c r="AR11" s="5"/>
      <c r="AS11">
        <f>AO11*0.07</f>
        <v>2.0440000000000005</v>
      </c>
      <c r="AU11">
        <v>357</v>
      </c>
      <c r="AV11" s="6">
        <f>AO11/AU11</f>
        <v>8.1792717086834749E-2</v>
      </c>
    </row>
    <row r="12" spans="1:48" ht="15">
      <c r="A12" s="1" t="s">
        <v>0</v>
      </c>
      <c r="B12">
        <v>1.48</v>
      </c>
      <c r="C12" t="s">
        <v>1</v>
      </c>
      <c r="D12" t="s">
        <v>2</v>
      </c>
      <c r="E12" t="s">
        <v>1</v>
      </c>
      <c r="F12">
        <v>1.68</v>
      </c>
      <c r="G12" t="s">
        <v>5</v>
      </c>
      <c r="H12" t="s">
        <v>3</v>
      </c>
      <c r="I12">
        <v>39.35</v>
      </c>
      <c r="J12" t="s">
        <v>4</v>
      </c>
      <c r="K12">
        <v>2</v>
      </c>
      <c r="T12">
        <v>0</v>
      </c>
      <c r="V12">
        <v>0</v>
      </c>
      <c r="X12">
        <f t="shared" si="2"/>
        <v>-1.4300000000000002</v>
      </c>
      <c r="Y12">
        <f t="shared" si="3"/>
        <v>-1.2300000000000002</v>
      </c>
      <c r="Z12">
        <f t="shared" si="0"/>
        <v>39.35</v>
      </c>
      <c r="AA12">
        <f t="shared" si="1"/>
        <v>0.22357954545454548</v>
      </c>
      <c r="AE12" t="s">
        <v>29</v>
      </c>
      <c r="AF12">
        <v>32.35</v>
      </c>
      <c r="AG12">
        <v>1.05</v>
      </c>
      <c r="AH12" t="s">
        <v>36</v>
      </c>
      <c r="AI12">
        <v>0.6</v>
      </c>
      <c r="AJ12">
        <v>0.1</v>
      </c>
      <c r="AL12">
        <f t="shared" si="4"/>
        <v>1.1800000000000002</v>
      </c>
      <c r="AM12">
        <v>1.08</v>
      </c>
      <c r="AN12">
        <v>1.28</v>
      </c>
      <c r="AO12">
        <f>AF12-AI12</f>
        <v>31.75</v>
      </c>
      <c r="AQ12" s="5">
        <f>SQRT(AG12*AG12+AJ12*AJ12)</f>
        <v>1.0547511554864493</v>
      </c>
      <c r="AR12" s="5"/>
      <c r="AS12">
        <f>AO12*0.07</f>
        <v>2.2225000000000001</v>
      </c>
      <c r="AU12">
        <v>357</v>
      </c>
      <c r="AV12" s="6">
        <f>AO12/AU12</f>
        <v>8.893557422969188E-2</v>
      </c>
    </row>
    <row r="13" spans="1:48">
      <c r="AE13" t="s">
        <v>30</v>
      </c>
      <c r="AF13">
        <v>38.840000000000003</v>
      </c>
      <c r="AG13">
        <v>3.43</v>
      </c>
      <c r="AH13" t="s">
        <v>37</v>
      </c>
      <c r="AI13">
        <v>0.6</v>
      </c>
      <c r="AJ13">
        <v>0.1</v>
      </c>
      <c r="AL13">
        <f t="shared" si="4"/>
        <v>1.38</v>
      </c>
      <c r="AM13">
        <v>1.28</v>
      </c>
      <c r="AN13">
        <v>1.48</v>
      </c>
      <c r="AO13">
        <f>AF13-AI13</f>
        <v>38.24</v>
      </c>
      <c r="AQ13" s="5">
        <f>SQRT(AG13*AG13+AJ13*AJ13)</f>
        <v>3.4314574163174458</v>
      </c>
      <c r="AR13" s="5"/>
      <c r="AS13">
        <f>AO13*0.07</f>
        <v>2.6768000000000005</v>
      </c>
      <c r="AU13">
        <v>357</v>
      </c>
      <c r="AV13" s="6">
        <f>AO13/AU13</f>
        <v>0.10711484593837535</v>
      </c>
    </row>
    <row r="14" spans="1:48" ht="15">
      <c r="A14" s="1"/>
      <c r="AE14" t="s">
        <v>31</v>
      </c>
      <c r="AF14">
        <v>39.35</v>
      </c>
      <c r="AG14">
        <v>2</v>
      </c>
      <c r="AH14" t="s">
        <v>37</v>
      </c>
      <c r="AI14">
        <v>0</v>
      </c>
      <c r="AL14">
        <f t="shared" si="4"/>
        <v>1.58</v>
      </c>
      <c r="AM14">
        <v>1.48</v>
      </c>
      <c r="AN14">
        <v>1.68</v>
      </c>
      <c r="AO14">
        <f>AF14-AI14</f>
        <v>39.35</v>
      </c>
      <c r="AQ14" s="5">
        <f>SQRT(AG14*AG14+AJ14*AJ14)</f>
        <v>2</v>
      </c>
      <c r="AR14" s="5"/>
      <c r="AS14">
        <f>AO14*0.07</f>
        <v>2.7545000000000002</v>
      </c>
      <c r="AU14">
        <v>357</v>
      </c>
      <c r="AV14" s="6">
        <f>AO14/AU14</f>
        <v>0.11022408963585435</v>
      </c>
    </row>
    <row r="15" spans="1:48" ht="15">
      <c r="A15" s="1"/>
      <c r="AO15">
        <f>AF15-AI15</f>
        <v>0</v>
      </c>
      <c r="AQ15" s="5">
        <f>SQRT(AG15*AG15+AJ15*AJ15)</f>
        <v>0</v>
      </c>
      <c r="AR15" s="5"/>
      <c r="AS15">
        <f>AO15*0.07</f>
        <v>0</v>
      </c>
      <c r="AV15" s="6" t="e">
        <f>AO15/AU15</f>
        <v>#DIV/0!</v>
      </c>
    </row>
    <row r="16" spans="1:48" ht="15">
      <c r="A16" s="1"/>
      <c r="AF16" t="s">
        <v>17</v>
      </c>
      <c r="AI16" t="s">
        <v>17</v>
      </c>
      <c r="AO16" t="s">
        <v>17</v>
      </c>
      <c r="AQ16" s="5">
        <f>SQRT(AG16*AG16+AJ16*AJ16)</f>
        <v>0</v>
      </c>
      <c r="AR16" s="5"/>
      <c r="AS16" t="s">
        <v>17</v>
      </c>
      <c r="AV16" s="6" t="e">
        <f>AO16/AU16</f>
        <v>#VALUE!</v>
      </c>
    </row>
    <row r="17" spans="1:48" ht="15">
      <c r="A17" s="1"/>
      <c r="D17">
        <f>(E17+F17)/2</f>
        <v>-0.42000000000000004</v>
      </c>
      <c r="E17">
        <v>-0.52</v>
      </c>
      <c r="F17">
        <v>-0.32</v>
      </c>
      <c r="G17">
        <v>24.02</v>
      </c>
      <c r="H17">
        <f t="shared" ref="H17:H27" si="5">SQRT(K2*K2+V2*V2)</f>
        <v>1.4159802258506295</v>
      </c>
      <c r="I17">
        <f>G17*0.07</f>
        <v>1.6814000000000002</v>
      </c>
      <c r="AE17" t="s">
        <v>21</v>
      </c>
      <c r="AF17">
        <v>22.17</v>
      </c>
      <c r="AG17">
        <v>0.74</v>
      </c>
      <c r="AI17">
        <v>1.37</v>
      </c>
      <c r="AJ17">
        <v>0.09</v>
      </c>
      <c r="AL17">
        <f>(AM17+AN17)/2</f>
        <v>-0.42000000000000004</v>
      </c>
      <c r="AM17">
        <v>-0.52</v>
      </c>
      <c r="AN17">
        <v>-0.32</v>
      </c>
      <c r="AO17">
        <f>AF17-AI17</f>
        <v>20.8</v>
      </c>
      <c r="AP17" t="s">
        <v>39</v>
      </c>
      <c r="AQ17" s="5">
        <f>SQRT(AG17*AG17+AJ17*AJ17)</f>
        <v>0.74545288248151542</v>
      </c>
      <c r="AR17" t="s">
        <v>39</v>
      </c>
      <c r="AS17">
        <f>AO17*0.07</f>
        <v>1.4560000000000002</v>
      </c>
      <c r="AU17">
        <v>288</v>
      </c>
      <c r="AV17" s="6">
        <f>AO17/AU17</f>
        <v>7.2222222222222229E-2</v>
      </c>
    </row>
    <row r="18" spans="1:48" ht="15">
      <c r="A18" s="1"/>
      <c r="D18">
        <f t="shared" ref="D18:D27" si="6">(E18+F18)/2</f>
        <v>-0.22</v>
      </c>
      <c r="E18">
        <v>-0.32</v>
      </c>
      <c r="F18">
        <v>-0.12</v>
      </c>
      <c r="G18">
        <v>25.88</v>
      </c>
      <c r="H18">
        <f t="shared" si="5"/>
        <v>1.2467958934805647</v>
      </c>
      <c r="I18">
        <f t="shared" ref="I18:I27" si="7">G18*0.07</f>
        <v>1.8116000000000001</v>
      </c>
      <c r="AE18" t="s">
        <v>22</v>
      </c>
      <c r="AF18">
        <v>22.32</v>
      </c>
      <c r="AG18">
        <v>0.61</v>
      </c>
      <c r="AI18">
        <v>1.37</v>
      </c>
      <c r="AJ18">
        <v>0.09</v>
      </c>
      <c r="AL18">
        <f t="shared" ref="AL18:AL27" si="8">(AM18+AN18)/2</f>
        <v>-0.22</v>
      </c>
      <c r="AM18">
        <v>-0.32</v>
      </c>
      <c r="AN18">
        <v>-0.12</v>
      </c>
      <c r="AO18">
        <f>AF18-AI18</f>
        <v>20.95</v>
      </c>
      <c r="AP18" t="s">
        <v>39</v>
      </c>
      <c r="AQ18" s="5">
        <f>SQRT(AG18*AG18+AJ18*AJ18)</f>
        <v>0.61660360037871975</v>
      </c>
      <c r="AR18" t="s">
        <v>39</v>
      </c>
      <c r="AS18">
        <f>AO18*0.07</f>
        <v>1.4665000000000001</v>
      </c>
      <c r="AU18">
        <v>288</v>
      </c>
      <c r="AV18" s="6">
        <f>AO18/AU18</f>
        <v>7.2743055555555547E-2</v>
      </c>
    </row>
    <row r="19" spans="1:48">
      <c r="D19">
        <f t="shared" si="6"/>
        <v>-1.9999999999999997E-2</v>
      </c>
      <c r="E19">
        <v>-0.12</v>
      </c>
      <c r="F19">
        <v>0.08</v>
      </c>
      <c r="G19">
        <v>25.76</v>
      </c>
      <c r="H19">
        <f t="shared" si="5"/>
        <v>1.0965856099730655</v>
      </c>
      <c r="I19">
        <f t="shared" si="7"/>
        <v>1.8032000000000004</v>
      </c>
      <c r="AE19" t="s">
        <v>23</v>
      </c>
      <c r="AF19">
        <v>20.97</v>
      </c>
      <c r="AG19">
        <v>0.52</v>
      </c>
      <c r="AI19">
        <v>1.37</v>
      </c>
      <c r="AJ19">
        <v>0.08</v>
      </c>
      <c r="AL19">
        <f t="shared" si="8"/>
        <v>-1.9999999999999997E-2</v>
      </c>
      <c r="AM19">
        <v>-0.12</v>
      </c>
      <c r="AN19">
        <v>0.08</v>
      </c>
      <c r="AO19">
        <f>AF19-AI19</f>
        <v>19.599999999999998</v>
      </c>
      <c r="AP19" t="s">
        <v>39</v>
      </c>
      <c r="AQ19" s="5">
        <f>SQRT(AG19*AG19+AJ19*AJ19)</f>
        <v>0.52611785751863627</v>
      </c>
      <c r="AR19" t="s">
        <v>39</v>
      </c>
      <c r="AS19">
        <f>AO19*0.07</f>
        <v>1.3719999999999999</v>
      </c>
      <c r="AU19">
        <v>288</v>
      </c>
      <c r="AV19" s="6">
        <f>AO19/AU19</f>
        <v>6.805555555555555E-2</v>
      </c>
    </row>
    <row r="20" spans="1:48">
      <c r="D20">
        <f t="shared" si="6"/>
        <v>0.18000000000000002</v>
      </c>
      <c r="E20">
        <v>0.08</v>
      </c>
      <c r="F20">
        <v>0.28000000000000003</v>
      </c>
      <c r="G20">
        <v>26.32</v>
      </c>
      <c r="H20">
        <f t="shared" si="5"/>
        <v>1.0171037311896953</v>
      </c>
      <c r="I20">
        <f t="shared" si="7"/>
        <v>1.8424000000000003</v>
      </c>
      <c r="AE20" t="s">
        <v>24</v>
      </c>
      <c r="AF20">
        <v>21.81</v>
      </c>
      <c r="AG20">
        <v>0.51</v>
      </c>
      <c r="AI20">
        <v>1.37</v>
      </c>
      <c r="AJ20">
        <v>0.08</v>
      </c>
      <c r="AL20">
        <f t="shared" si="8"/>
        <v>0.18000000000000002</v>
      </c>
      <c r="AM20">
        <v>0.08</v>
      </c>
      <c r="AN20">
        <v>0.28000000000000003</v>
      </c>
      <c r="AO20">
        <f>AF20-AI20</f>
        <v>20.439999999999998</v>
      </c>
      <c r="AP20" t="s">
        <v>39</v>
      </c>
      <c r="AQ20" s="5">
        <f>SQRT(AG20*AG20+AJ20*AJ20)</f>
        <v>0.51623637996561222</v>
      </c>
      <c r="AR20" t="s">
        <v>39</v>
      </c>
      <c r="AS20">
        <f>AO20*0.07</f>
        <v>1.4308000000000001</v>
      </c>
      <c r="AU20">
        <v>288</v>
      </c>
      <c r="AV20" s="6">
        <f>AO20/AU20</f>
        <v>7.0972222222222214E-2</v>
      </c>
    </row>
    <row r="21" spans="1:48">
      <c r="D21">
        <f t="shared" si="6"/>
        <v>0.38</v>
      </c>
      <c r="E21">
        <v>0.28000000000000003</v>
      </c>
      <c r="F21">
        <v>0.48</v>
      </c>
      <c r="G21">
        <v>26.169999999999998</v>
      </c>
      <c r="H21">
        <f t="shared" si="5"/>
        <v>0.94641428560646734</v>
      </c>
      <c r="I21">
        <f t="shared" si="7"/>
        <v>1.8319000000000001</v>
      </c>
      <c r="AE21" t="s">
        <v>25</v>
      </c>
      <c r="AF21">
        <v>21.74</v>
      </c>
      <c r="AG21">
        <v>0.52</v>
      </c>
      <c r="AI21">
        <v>1.43</v>
      </c>
      <c r="AJ21">
        <v>7.0000000000000007E-2</v>
      </c>
      <c r="AL21">
        <f t="shared" si="8"/>
        <v>0.38</v>
      </c>
      <c r="AM21">
        <v>0.28000000000000003</v>
      </c>
      <c r="AN21">
        <v>0.48</v>
      </c>
      <c r="AO21">
        <f>AF21-AI21</f>
        <v>20.309999999999999</v>
      </c>
      <c r="AP21" t="s">
        <v>39</v>
      </c>
      <c r="AQ21" s="5">
        <f>SQRT(AG21*AG21+AJ21*AJ21)</f>
        <v>0.52469038489379627</v>
      </c>
      <c r="AR21" t="s">
        <v>39</v>
      </c>
      <c r="AS21">
        <f>AO21*0.07</f>
        <v>1.4217</v>
      </c>
      <c r="AU21">
        <v>288</v>
      </c>
      <c r="AV21" s="6">
        <f>AO21/AU21</f>
        <v>7.0520833333333324E-2</v>
      </c>
    </row>
    <row r="22" spans="1:48">
      <c r="D22">
        <f t="shared" si="6"/>
        <v>0.58000000000000007</v>
      </c>
      <c r="E22">
        <v>0.48</v>
      </c>
      <c r="F22">
        <v>0.68</v>
      </c>
      <c r="G22">
        <v>27.439999999999998</v>
      </c>
      <c r="H22">
        <f t="shared" si="5"/>
        <v>0.89677198885781439</v>
      </c>
      <c r="I22">
        <f t="shared" si="7"/>
        <v>1.9208000000000001</v>
      </c>
      <c r="AE22" t="s">
        <v>26</v>
      </c>
      <c r="AF22">
        <v>22.91</v>
      </c>
      <c r="AG22">
        <v>0.5</v>
      </c>
      <c r="AI22">
        <v>1.43</v>
      </c>
      <c r="AJ22">
        <v>7.0000000000000007E-2</v>
      </c>
      <c r="AL22">
        <f t="shared" si="8"/>
        <v>0.58000000000000007</v>
      </c>
      <c r="AM22">
        <v>0.48</v>
      </c>
      <c r="AN22">
        <v>0.68</v>
      </c>
      <c r="AO22">
        <f>AF22-AI22</f>
        <v>21.48</v>
      </c>
      <c r="AP22" t="s">
        <v>39</v>
      </c>
      <c r="AQ22" s="5">
        <f>SQRT(AG22*AG22+AJ22*AJ22)</f>
        <v>0.50487622245457353</v>
      </c>
      <c r="AR22" t="s">
        <v>39</v>
      </c>
      <c r="AS22">
        <f>AO22*0.07</f>
        <v>1.5036000000000003</v>
      </c>
      <c r="AU22">
        <v>288</v>
      </c>
      <c r="AV22" s="6">
        <f>AO22/AU22</f>
        <v>7.4583333333333335E-2</v>
      </c>
    </row>
    <row r="23" spans="1:48">
      <c r="D23">
        <f t="shared" si="6"/>
        <v>0.78</v>
      </c>
      <c r="E23">
        <v>0.68</v>
      </c>
      <c r="F23">
        <v>0.88</v>
      </c>
      <c r="G23">
        <v>29.990000000000002</v>
      </c>
      <c r="H23">
        <f t="shared" si="5"/>
        <v>0.88566359301938113</v>
      </c>
      <c r="I23">
        <f t="shared" si="7"/>
        <v>2.0993000000000004</v>
      </c>
      <c r="AE23" t="s">
        <v>27</v>
      </c>
      <c r="AF23">
        <v>23.96</v>
      </c>
      <c r="AG23">
        <v>0.49</v>
      </c>
      <c r="AI23">
        <v>1.1100000000000001</v>
      </c>
      <c r="AJ23">
        <v>7.0000000000000007E-2</v>
      </c>
      <c r="AL23">
        <f t="shared" si="8"/>
        <v>0.78</v>
      </c>
      <c r="AM23">
        <v>0.68</v>
      </c>
      <c r="AN23">
        <v>0.88</v>
      </c>
      <c r="AO23">
        <f>AF23-AI23</f>
        <v>22.85</v>
      </c>
      <c r="AP23" t="s">
        <v>39</v>
      </c>
      <c r="AQ23" s="5">
        <f>SQRT(AG23*AG23+AJ23*AJ23)</f>
        <v>0.49497474683058323</v>
      </c>
      <c r="AR23" t="s">
        <v>39</v>
      </c>
      <c r="AS23">
        <f>AO23*0.07</f>
        <v>1.5995000000000001</v>
      </c>
      <c r="AU23">
        <v>288</v>
      </c>
      <c r="AV23" s="6">
        <f>AO23/AU23</f>
        <v>7.9340277777777787E-2</v>
      </c>
    </row>
    <row r="24" spans="1:48">
      <c r="D24">
        <f t="shared" si="6"/>
        <v>0.98</v>
      </c>
      <c r="E24">
        <v>0.88</v>
      </c>
      <c r="F24">
        <v>1.08</v>
      </c>
      <c r="G24">
        <v>29.200000000000003</v>
      </c>
      <c r="H24">
        <f t="shared" si="5"/>
        <v>0.85586213843118442</v>
      </c>
      <c r="I24">
        <f t="shared" si="7"/>
        <v>2.0440000000000005</v>
      </c>
      <c r="AE24" t="s">
        <v>28</v>
      </c>
      <c r="AF24">
        <v>25.1</v>
      </c>
      <c r="AG24">
        <v>0.49</v>
      </c>
      <c r="AI24">
        <v>1.1100000000000001</v>
      </c>
      <c r="AJ24">
        <v>7.0000000000000007E-2</v>
      </c>
      <c r="AL24">
        <f t="shared" si="8"/>
        <v>0.98</v>
      </c>
      <c r="AM24">
        <v>0.88</v>
      </c>
      <c r="AN24">
        <v>1.08</v>
      </c>
      <c r="AO24">
        <f>AF24-AI24</f>
        <v>23.990000000000002</v>
      </c>
      <c r="AP24" t="s">
        <v>39</v>
      </c>
      <c r="AQ24" s="5">
        <f>SQRT(AG24*AG24+AJ24*AJ24)</f>
        <v>0.49497474683058323</v>
      </c>
      <c r="AR24" t="s">
        <v>39</v>
      </c>
      <c r="AS24">
        <f>AO24*0.07</f>
        <v>1.6793000000000002</v>
      </c>
      <c r="AU24">
        <v>288</v>
      </c>
      <c r="AV24" s="6">
        <f>AO24/AU24</f>
        <v>8.3298611111111115E-2</v>
      </c>
    </row>
    <row r="25" spans="1:48">
      <c r="D25">
        <f t="shared" si="6"/>
        <v>1.1800000000000002</v>
      </c>
      <c r="E25">
        <v>1.08</v>
      </c>
      <c r="F25">
        <v>1.28</v>
      </c>
      <c r="G25">
        <v>31.75</v>
      </c>
      <c r="H25">
        <f t="shared" si="5"/>
        <v>1.0547511554864493</v>
      </c>
      <c r="I25">
        <f t="shared" si="7"/>
        <v>2.2225000000000001</v>
      </c>
      <c r="AE25" t="s">
        <v>29</v>
      </c>
      <c r="AF25">
        <v>26.88</v>
      </c>
      <c r="AG25">
        <v>0.56999999999999995</v>
      </c>
      <c r="AI25">
        <v>0.56999999999999995</v>
      </c>
      <c r="AJ25">
        <v>0.09</v>
      </c>
      <c r="AL25">
        <f t="shared" si="8"/>
        <v>1.1800000000000002</v>
      </c>
      <c r="AM25">
        <v>1.08</v>
      </c>
      <c r="AN25">
        <v>1.28</v>
      </c>
      <c r="AO25">
        <f>AF25-AI25</f>
        <v>26.31</v>
      </c>
      <c r="AP25" t="s">
        <v>39</v>
      </c>
      <c r="AQ25" s="5">
        <f>SQRT(AG25*AG25+AJ25*AJ25)</f>
        <v>0.57706152185014026</v>
      </c>
      <c r="AR25" t="s">
        <v>39</v>
      </c>
      <c r="AS25">
        <f>AO25*0.07</f>
        <v>1.8417000000000001</v>
      </c>
      <c r="AU25">
        <v>288</v>
      </c>
      <c r="AV25" s="6">
        <f>AO25/AU25</f>
        <v>9.1354166666666667E-2</v>
      </c>
    </row>
    <row r="26" spans="1:48">
      <c r="D26">
        <f t="shared" si="6"/>
        <v>1.38</v>
      </c>
      <c r="E26">
        <v>1.28</v>
      </c>
      <c r="F26">
        <v>1.48</v>
      </c>
      <c r="G26">
        <v>38.24</v>
      </c>
      <c r="H26">
        <f t="shared" si="5"/>
        <v>3.4314574163174458</v>
      </c>
      <c r="I26">
        <f t="shared" si="7"/>
        <v>2.6768000000000005</v>
      </c>
      <c r="AE26" t="s">
        <v>30</v>
      </c>
      <c r="AF26">
        <v>28.82</v>
      </c>
      <c r="AG26">
        <v>0.57999999999999996</v>
      </c>
      <c r="AI26">
        <v>0.56999999999999995</v>
      </c>
      <c r="AJ26">
        <v>0.09</v>
      </c>
      <c r="AL26">
        <f t="shared" si="8"/>
        <v>1.38</v>
      </c>
      <c r="AM26">
        <v>1.28</v>
      </c>
      <c r="AN26">
        <v>1.48</v>
      </c>
      <c r="AO26">
        <f>AF26-AI26</f>
        <v>28.25</v>
      </c>
      <c r="AP26" t="s">
        <v>39</v>
      </c>
      <c r="AQ26" s="5">
        <f>SQRT(AG26*AG26+AJ26*AJ26)</f>
        <v>0.58694122363316747</v>
      </c>
      <c r="AR26" t="s">
        <v>39</v>
      </c>
      <c r="AS26">
        <f>AO26*0.07</f>
        <v>1.9775000000000003</v>
      </c>
      <c r="AU26">
        <v>288</v>
      </c>
      <c r="AV26" s="6">
        <f>AO26/AU26</f>
        <v>9.8090277777777776E-2</v>
      </c>
    </row>
    <row r="27" spans="1:48">
      <c r="D27">
        <f t="shared" si="6"/>
        <v>1.58</v>
      </c>
      <c r="E27">
        <v>1.48</v>
      </c>
      <c r="F27">
        <v>1.68</v>
      </c>
      <c r="G27">
        <v>39.35</v>
      </c>
      <c r="H27">
        <f t="shared" si="5"/>
        <v>2</v>
      </c>
      <c r="I27">
        <f t="shared" si="7"/>
        <v>2.7545000000000002</v>
      </c>
      <c r="AE27" t="s">
        <v>31</v>
      </c>
      <c r="AF27">
        <v>30.3</v>
      </c>
      <c r="AG27">
        <v>1.55</v>
      </c>
      <c r="AI27">
        <v>0</v>
      </c>
      <c r="AL27">
        <f t="shared" si="8"/>
        <v>1.58</v>
      </c>
      <c r="AM27">
        <v>1.48</v>
      </c>
      <c r="AN27">
        <v>1.68</v>
      </c>
      <c r="AO27">
        <f>AF27-AI27</f>
        <v>30.3</v>
      </c>
      <c r="AP27" t="s">
        <v>39</v>
      </c>
      <c r="AQ27" s="5">
        <f>SQRT(AG27*AG27+AJ27*AJ27)</f>
        <v>1.55</v>
      </c>
      <c r="AR27" t="s">
        <v>39</v>
      </c>
      <c r="AS27">
        <f>AO27*0.07</f>
        <v>2.1210000000000004</v>
      </c>
      <c r="AU27">
        <v>288</v>
      </c>
      <c r="AV27" s="6">
        <f>AO27/AU27</f>
        <v>0.10520833333333333</v>
      </c>
    </row>
    <row r="28" spans="1:48">
      <c r="AO28">
        <f>AF28-AI28</f>
        <v>0</v>
      </c>
      <c r="AP28" t="s">
        <v>39</v>
      </c>
      <c r="AQ28" s="5">
        <f>SQRT(AG28*AG28+AJ28*AJ28)</f>
        <v>0</v>
      </c>
      <c r="AR28" t="s">
        <v>39</v>
      </c>
      <c r="AS28">
        <f>AO28*0.07</f>
        <v>0</v>
      </c>
      <c r="AV28" s="6" t="e">
        <f>AO28/AU28</f>
        <v>#DIV/0!</v>
      </c>
    </row>
    <row r="29" spans="1:48">
      <c r="AF29" t="s">
        <v>18</v>
      </c>
      <c r="AI29" t="s">
        <v>18</v>
      </c>
      <c r="AO29" t="s">
        <v>18</v>
      </c>
      <c r="AQ29" s="5">
        <f>SQRT(AG29*AG29+AJ29*AJ29)</f>
        <v>0</v>
      </c>
      <c r="AR29" t="s">
        <v>39</v>
      </c>
      <c r="AS29" t="s">
        <v>18</v>
      </c>
      <c r="AV29" s="6" t="e">
        <f>AO29/AU29</f>
        <v>#VALUE!</v>
      </c>
    </row>
    <row r="30" spans="1:48">
      <c r="AE30" t="s">
        <v>21</v>
      </c>
      <c r="AF30">
        <v>14.36</v>
      </c>
      <c r="AG30">
        <v>0.43</v>
      </c>
      <c r="AI30">
        <v>0.92</v>
      </c>
      <c r="AJ30">
        <v>0.06</v>
      </c>
      <c r="AL30">
        <f>(AM30+AN30)/2</f>
        <v>-0.42000000000000004</v>
      </c>
      <c r="AM30">
        <v>-0.52</v>
      </c>
      <c r="AN30">
        <v>-0.32</v>
      </c>
      <c r="AO30">
        <f>AF30-AI30</f>
        <v>13.44</v>
      </c>
      <c r="AP30" t="s">
        <v>39</v>
      </c>
      <c r="AQ30" s="5">
        <f>SQRT(AG30*AG30+AJ30*AJ30)</f>
        <v>0.43416586692184816</v>
      </c>
      <c r="AR30" t="s">
        <v>39</v>
      </c>
      <c r="AS30">
        <f>AO30*0.07</f>
        <v>0.94080000000000008</v>
      </c>
      <c r="AU30">
        <v>211</v>
      </c>
      <c r="AV30" s="6">
        <f>AO30/AU30</f>
        <v>6.3696682464454979E-2</v>
      </c>
    </row>
    <row r="31" spans="1:48">
      <c r="AE31" t="s">
        <v>22</v>
      </c>
      <c r="AF31">
        <v>15.14</v>
      </c>
      <c r="AG31">
        <v>0.38</v>
      </c>
      <c r="AI31">
        <v>0.92</v>
      </c>
      <c r="AJ31">
        <v>0.06</v>
      </c>
      <c r="AL31">
        <f t="shared" ref="AL31:AL40" si="9">(AM31+AN31)/2</f>
        <v>-0.22</v>
      </c>
      <c r="AM31">
        <v>-0.32</v>
      </c>
      <c r="AN31">
        <v>-0.12</v>
      </c>
      <c r="AO31">
        <f>AF31-AI31</f>
        <v>14.22</v>
      </c>
      <c r="AP31" t="s">
        <v>39</v>
      </c>
      <c r="AQ31" s="5">
        <f>SQRT(AG31*AG31+AJ31*AJ31)</f>
        <v>0.38470768123342691</v>
      </c>
      <c r="AR31" t="s">
        <v>39</v>
      </c>
      <c r="AS31">
        <f>AO31*0.07</f>
        <v>0.99540000000000017</v>
      </c>
      <c r="AU31">
        <v>211</v>
      </c>
      <c r="AV31" s="6">
        <f>AO31/AU31</f>
        <v>6.739336492890996E-2</v>
      </c>
    </row>
    <row r="32" spans="1:48">
      <c r="AE32" t="s">
        <v>23</v>
      </c>
      <c r="AF32">
        <v>14.79</v>
      </c>
      <c r="AG32">
        <v>0.33</v>
      </c>
      <c r="AI32">
        <v>1.06</v>
      </c>
      <c r="AJ32">
        <v>0.05</v>
      </c>
      <c r="AL32">
        <f t="shared" si="9"/>
        <v>-1.9999999999999997E-2</v>
      </c>
      <c r="AM32">
        <v>-0.12</v>
      </c>
      <c r="AN32">
        <v>0.08</v>
      </c>
      <c r="AO32">
        <f>AF32-AI32</f>
        <v>13.729999999999999</v>
      </c>
      <c r="AP32" t="s">
        <v>39</v>
      </c>
      <c r="AQ32" s="5">
        <f>SQRT(AG32*AG32+AJ32*AJ32)</f>
        <v>0.33376638536557274</v>
      </c>
      <c r="AR32" t="s">
        <v>39</v>
      </c>
      <c r="AS32">
        <f>AO32*0.07</f>
        <v>0.96109999999999995</v>
      </c>
      <c r="AU32">
        <v>211</v>
      </c>
      <c r="AV32" s="6">
        <f>AO32/AU32</f>
        <v>6.5071090047393365E-2</v>
      </c>
    </row>
    <row r="33" spans="31:48">
      <c r="AE33" t="s">
        <v>24</v>
      </c>
      <c r="AF33">
        <v>14.96</v>
      </c>
      <c r="AG33">
        <v>0.31</v>
      </c>
      <c r="AI33">
        <v>1.06</v>
      </c>
      <c r="AJ33">
        <v>0.05</v>
      </c>
      <c r="AL33">
        <f t="shared" si="9"/>
        <v>0.18000000000000002</v>
      </c>
      <c r="AM33">
        <v>0.08</v>
      </c>
      <c r="AN33">
        <v>0.28000000000000003</v>
      </c>
      <c r="AO33">
        <f>AF33-AI33</f>
        <v>13.9</v>
      </c>
      <c r="AP33" t="s">
        <v>39</v>
      </c>
      <c r="AQ33" s="5">
        <f>SQRT(AG33*AG33+AJ33*AJ33)</f>
        <v>0.31400636936215165</v>
      </c>
      <c r="AR33" t="s">
        <v>39</v>
      </c>
      <c r="AS33">
        <f>AO33*0.07</f>
        <v>0.97300000000000009</v>
      </c>
      <c r="AU33">
        <v>211</v>
      </c>
      <c r="AV33" s="6">
        <f>AO33/AU33</f>
        <v>6.5876777251184834E-2</v>
      </c>
    </row>
    <row r="34" spans="31:48">
      <c r="AE34" t="s">
        <v>25</v>
      </c>
      <c r="AF34">
        <v>15.35</v>
      </c>
      <c r="AG34">
        <v>0.3</v>
      </c>
      <c r="AI34">
        <v>0.96</v>
      </c>
      <c r="AJ34">
        <v>0.05</v>
      </c>
      <c r="AL34">
        <f t="shared" si="9"/>
        <v>0.38</v>
      </c>
      <c r="AM34">
        <v>0.28000000000000003</v>
      </c>
      <c r="AN34">
        <v>0.48</v>
      </c>
      <c r="AO34">
        <f>AF34-AI34</f>
        <v>14.39</v>
      </c>
      <c r="AP34" t="s">
        <v>39</v>
      </c>
      <c r="AQ34" s="5">
        <f>SQRT(AG34*AG34+AJ34*AJ34)</f>
        <v>0.30413812651491096</v>
      </c>
      <c r="AR34" t="s">
        <v>39</v>
      </c>
      <c r="AS34">
        <f>AO34*0.07</f>
        <v>1.0073000000000001</v>
      </c>
      <c r="AU34">
        <v>211</v>
      </c>
      <c r="AV34" s="6">
        <f>AO34/AU34</f>
        <v>6.8199052132701429E-2</v>
      </c>
    </row>
    <row r="35" spans="31:48">
      <c r="AE35" t="s">
        <v>26</v>
      </c>
      <c r="AF35">
        <v>16.27</v>
      </c>
      <c r="AG35">
        <v>0.3</v>
      </c>
      <c r="AI35">
        <v>0.96</v>
      </c>
      <c r="AJ35">
        <v>0.05</v>
      </c>
      <c r="AL35">
        <f t="shared" si="9"/>
        <v>0.58000000000000007</v>
      </c>
      <c r="AM35">
        <v>0.48</v>
      </c>
      <c r="AN35">
        <v>0.68</v>
      </c>
      <c r="AO35">
        <f>AF35-AI35</f>
        <v>15.309999999999999</v>
      </c>
      <c r="AP35" t="s">
        <v>39</v>
      </c>
      <c r="AQ35" s="5">
        <f>SQRT(AG35*AG35+AJ35*AJ35)</f>
        <v>0.30413812651491096</v>
      </c>
      <c r="AR35" t="s">
        <v>39</v>
      </c>
      <c r="AS35">
        <f>AO35*0.07</f>
        <v>1.0717000000000001</v>
      </c>
      <c r="AU35">
        <v>211</v>
      </c>
      <c r="AV35" s="6">
        <f>AO35/AU35</f>
        <v>7.2559241706161126E-2</v>
      </c>
    </row>
    <row r="36" spans="31:48">
      <c r="AE36" t="s">
        <v>27</v>
      </c>
      <c r="AF36">
        <v>17.399999999999999</v>
      </c>
      <c r="AG36">
        <v>0.31</v>
      </c>
      <c r="AI36">
        <v>0.8</v>
      </c>
      <c r="AJ36">
        <v>0.05</v>
      </c>
      <c r="AL36">
        <f t="shared" si="9"/>
        <v>0.78</v>
      </c>
      <c r="AM36">
        <v>0.68</v>
      </c>
      <c r="AN36">
        <v>0.88</v>
      </c>
      <c r="AO36">
        <f>AF36-AI36</f>
        <v>16.599999999999998</v>
      </c>
      <c r="AP36" t="s">
        <v>39</v>
      </c>
      <c r="AQ36" s="5">
        <f>SQRT(AG36*AG36+AJ36*AJ36)</f>
        <v>0.31400636936215165</v>
      </c>
      <c r="AR36" t="s">
        <v>39</v>
      </c>
      <c r="AS36">
        <f>AO36*0.07</f>
        <v>1.1619999999999999</v>
      </c>
      <c r="AU36">
        <v>211</v>
      </c>
      <c r="AV36" s="6">
        <f>AO36/AU36</f>
        <v>7.8672985781990515E-2</v>
      </c>
    </row>
    <row r="37" spans="31:48">
      <c r="AE37" t="s">
        <v>28</v>
      </c>
      <c r="AF37">
        <v>17.87</v>
      </c>
      <c r="AG37">
        <v>0.32</v>
      </c>
      <c r="AI37">
        <v>0.8</v>
      </c>
      <c r="AJ37">
        <v>0.05</v>
      </c>
      <c r="AL37">
        <f t="shared" si="9"/>
        <v>0.98</v>
      </c>
      <c r="AM37">
        <v>0.88</v>
      </c>
      <c r="AN37">
        <v>1.08</v>
      </c>
      <c r="AO37">
        <f>AF37-AI37</f>
        <v>17.07</v>
      </c>
      <c r="AP37" t="s">
        <v>39</v>
      </c>
      <c r="AQ37" s="5">
        <f>SQRT(AG37*AG37+AJ37*AJ37)</f>
        <v>0.32388269481403298</v>
      </c>
      <c r="AR37" t="s">
        <v>39</v>
      </c>
      <c r="AS37">
        <f>AO37*0.07</f>
        <v>1.1949000000000001</v>
      </c>
      <c r="AU37">
        <v>211</v>
      </c>
      <c r="AV37" s="6">
        <f>AO37/AU37</f>
        <v>8.0900473933649297E-2</v>
      </c>
    </row>
    <row r="38" spans="31:48">
      <c r="AE38" t="s">
        <v>29</v>
      </c>
      <c r="AF38">
        <v>19.22</v>
      </c>
      <c r="AG38">
        <v>0.39</v>
      </c>
      <c r="AI38">
        <v>0.37</v>
      </c>
      <c r="AJ38">
        <v>0.05</v>
      </c>
      <c r="AL38">
        <f t="shared" si="9"/>
        <v>1.1800000000000002</v>
      </c>
      <c r="AM38">
        <v>1.08</v>
      </c>
      <c r="AN38">
        <v>1.28</v>
      </c>
      <c r="AO38">
        <f>AF38-AI38</f>
        <v>18.849999999999998</v>
      </c>
      <c r="AP38" t="s">
        <v>39</v>
      </c>
      <c r="AQ38" s="5">
        <f>SQRT(AG38*AG38+AJ38*AJ38)</f>
        <v>0.39319206502675003</v>
      </c>
      <c r="AR38" t="s">
        <v>39</v>
      </c>
      <c r="AS38">
        <f>AO38*0.07</f>
        <v>1.3194999999999999</v>
      </c>
      <c r="AU38">
        <v>211</v>
      </c>
      <c r="AV38" s="6">
        <f>AO38/AU38</f>
        <v>8.9336492890995253E-2</v>
      </c>
    </row>
    <row r="39" spans="31:48">
      <c r="AE39" t="s">
        <v>30</v>
      </c>
      <c r="AF39">
        <v>21.46</v>
      </c>
      <c r="AG39">
        <v>0.43</v>
      </c>
      <c r="AI39">
        <v>0.37</v>
      </c>
      <c r="AJ39">
        <v>0.05</v>
      </c>
      <c r="AL39">
        <f t="shared" si="9"/>
        <v>1.38</v>
      </c>
      <c r="AM39">
        <v>1.28</v>
      </c>
      <c r="AN39">
        <v>1.48</v>
      </c>
      <c r="AO39">
        <f>AF39-AI39</f>
        <v>21.09</v>
      </c>
      <c r="AP39" t="s">
        <v>39</v>
      </c>
      <c r="AQ39" s="5">
        <f>SQRT(AG39*AG39+AJ39*AJ39)</f>
        <v>0.43289721643826723</v>
      </c>
      <c r="AR39" t="s">
        <v>39</v>
      </c>
      <c r="AS39">
        <f>AO39*0.07</f>
        <v>1.4763000000000002</v>
      </c>
      <c r="AU39">
        <v>211</v>
      </c>
      <c r="AV39" s="6">
        <f>AO39/AU39</f>
        <v>9.9952606635071092E-2</v>
      </c>
    </row>
    <row r="40" spans="31:48">
      <c r="AE40" t="s">
        <v>31</v>
      </c>
      <c r="AF40">
        <v>20.13</v>
      </c>
      <c r="AG40">
        <v>2.2999999999999998</v>
      </c>
      <c r="AI40">
        <v>0</v>
      </c>
      <c r="AL40">
        <f t="shared" si="9"/>
        <v>1.58</v>
      </c>
      <c r="AM40">
        <v>1.48</v>
      </c>
      <c r="AN40">
        <v>1.68</v>
      </c>
      <c r="AO40">
        <f>AF40-AI40</f>
        <v>20.13</v>
      </c>
      <c r="AP40" t="s">
        <v>39</v>
      </c>
      <c r="AQ40" s="5">
        <f>SQRT(AG40*AG40+AJ40*AJ40)</f>
        <v>2.2999999999999998</v>
      </c>
      <c r="AR40" t="s">
        <v>39</v>
      </c>
      <c r="AS40">
        <f>AO40*0.07</f>
        <v>1.4091</v>
      </c>
      <c r="AU40">
        <v>211</v>
      </c>
      <c r="AV40" s="6">
        <f>AO40/AU40</f>
        <v>9.5402843601895729E-2</v>
      </c>
    </row>
    <row r="41" spans="31:48">
      <c r="AO41">
        <f>AF41-AI41</f>
        <v>0</v>
      </c>
      <c r="AP41" t="s">
        <v>39</v>
      </c>
      <c r="AQ41" s="5">
        <f>SQRT(AG41*AG41+AJ41*AJ41)</f>
        <v>0</v>
      </c>
      <c r="AR41" t="s">
        <v>39</v>
      </c>
      <c r="AS41">
        <f>AO41*0.07</f>
        <v>0</v>
      </c>
      <c r="AV41" s="6" t="e">
        <f>AO41/AU41</f>
        <v>#DIV/0!</v>
      </c>
    </row>
    <row r="42" spans="31:48">
      <c r="AF42" t="s">
        <v>19</v>
      </c>
      <c r="AI42" t="s">
        <v>19</v>
      </c>
      <c r="AO42" t="s">
        <v>19</v>
      </c>
      <c r="AP42" t="s">
        <v>39</v>
      </c>
      <c r="AQ42" s="5">
        <f>SQRT(AG42*AG42+AJ42*AJ42)</f>
        <v>0</v>
      </c>
      <c r="AR42" t="s">
        <v>39</v>
      </c>
      <c r="AS42" t="s">
        <v>19</v>
      </c>
      <c r="AV42" s="6" t="e">
        <f>AO42/AU42</f>
        <v>#VALUE!</v>
      </c>
    </row>
    <row r="43" spans="31:48">
      <c r="AE43" t="s">
        <v>21</v>
      </c>
      <c r="AF43">
        <v>9.2799999999999994</v>
      </c>
      <c r="AG43">
        <v>0.3</v>
      </c>
      <c r="AI43">
        <v>0.78</v>
      </c>
      <c r="AJ43">
        <v>0.05</v>
      </c>
      <c r="AL43">
        <f>(AM43+AN43)/2</f>
        <v>-0.42000000000000004</v>
      </c>
      <c r="AM43">
        <v>-0.52</v>
      </c>
      <c r="AN43">
        <v>-0.32</v>
      </c>
      <c r="AO43">
        <f>AF43-AI43</f>
        <v>8.5</v>
      </c>
      <c r="AP43" t="s">
        <v>39</v>
      </c>
      <c r="AQ43" s="5">
        <f>SQRT(AG43*AG43+AJ43*AJ43)</f>
        <v>0.30413812651491096</v>
      </c>
      <c r="AR43" t="s">
        <v>39</v>
      </c>
      <c r="AS43">
        <f>AO43*0.07</f>
        <v>0.59500000000000008</v>
      </c>
      <c r="AU43">
        <v>146</v>
      </c>
      <c r="AV43" s="6">
        <f>AO43/AU43</f>
        <v>5.8219178082191778E-2</v>
      </c>
    </row>
    <row r="44" spans="31:48">
      <c r="AE44" t="s">
        <v>22</v>
      </c>
      <c r="AF44">
        <v>9.4600000000000009</v>
      </c>
      <c r="AG44">
        <v>0.25</v>
      </c>
      <c r="AI44">
        <v>0.78</v>
      </c>
      <c r="AJ44">
        <v>0.05</v>
      </c>
      <c r="AL44">
        <f t="shared" ref="AL44:AL53" si="10">(AM44+AN44)/2</f>
        <v>-0.22</v>
      </c>
      <c r="AM44">
        <v>-0.32</v>
      </c>
      <c r="AN44">
        <v>-0.12</v>
      </c>
      <c r="AO44">
        <f>AF44-AI44</f>
        <v>8.6800000000000015</v>
      </c>
      <c r="AP44" t="s">
        <v>39</v>
      </c>
      <c r="AQ44" s="5">
        <f>SQRT(AG44*AG44+AJ44*AJ44)</f>
        <v>0.25495097567963926</v>
      </c>
      <c r="AR44" t="s">
        <v>39</v>
      </c>
      <c r="AS44">
        <f>AO44*0.07</f>
        <v>0.60760000000000014</v>
      </c>
      <c r="AU44">
        <v>146</v>
      </c>
      <c r="AV44" s="6">
        <f>AO44/AU44</f>
        <v>5.9452054794520558E-2</v>
      </c>
    </row>
    <row r="45" spans="31:48">
      <c r="AE45" t="s">
        <v>23</v>
      </c>
      <c r="AF45">
        <v>9.4600000000000009</v>
      </c>
      <c r="AG45">
        <v>0.23</v>
      </c>
      <c r="AI45">
        <v>0.8</v>
      </c>
      <c r="AJ45">
        <v>0.04</v>
      </c>
      <c r="AL45">
        <f t="shared" si="10"/>
        <v>-1.9999999999999997E-2</v>
      </c>
      <c r="AM45">
        <v>-0.12</v>
      </c>
      <c r="AN45">
        <v>0.08</v>
      </c>
      <c r="AO45">
        <f>AF45-AI45</f>
        <v>8.66</v>
      </c>
      <c r="AP45" t="s">
        <v>39</v>
      </c>
      <c r="AQ45" s="5">
        <f>SQRT(AG45*AG45+AJ45*AJ45)</f>
        <v>0.23345235059857505</v>
      </c>
      <c r="AR45" t="s">
        <v>39</v>
      </c>
      <c r="AS45">
        <f>AO45*0.07</f>
        <v>0.60620000000000007</v>
      </c>
      <c r="AU45">
        <v>146</v>
      </c>
      <c r="AV45" s="6">
        <f>AO45/AU45</f>
        <v>5.9315068493150686E-2</v>
      </c>
    </row>
    <row r="46" spans="31:48">
      <c r="AE46" t="s">
        <v>24</v>
      </c>
      <c r="AF46">
        <v>9.34</v>
      </c>
      <c r="AG46">
        <v>0.21</v>
      </c>
      <c r="AI46">
        <v>0.8</v>
      </c>
      <c r="AJ46">
        <v>0.04</v>
      </c>
      <c r="AL46">
        <f t="shared" si="10"/>
        <v>0.18000000000000002</v>
      </c>
      <c r="AM46">
        <v>0.08</v>
      </c>
      <c r="AN46">
        <v>0.28000000000000003</v>
      </c>
      <c r="AO46">
        <f>AF46-AI46</f>
        <v>8.5399999999999991</v>
      </c>
      <c r="AP46" t="s">
        <v>39</v>
      </c>
      <c r="AQ46" s="5">
        <f>SQRT(AG46*AG46+AJ46*AJ46)</f>
        <v>0.21377558326431947</v>
      </c>
      <c r="AR46" t="s">
        <v>39</v>
      </c>
      <c r="AS46">
        <f>AO46*0.07</f>
        <v>0.5978</v>
      </c>
      <c r="AU46">
        <v>146</v>
      </c>
      <c r="AV46" s="6">
        <f>AO46/AU46</f>
        <v>5.8493150684931501E-2</v>
      </c>
    </row>
    <row r="47" spans="31:48">
      <c r="AE47" t="s">
        <v>25</v>
      </c>
      <c r="AF47">
        <v>9.64</v>
      </c>
      <c r="AG47">
        <v>0.21</v>
      </c>
      <c r="AI47">
        <v>0.7</v>
      </c>
      <c r="AJ47">
        <v>0.04</v>
      </c>
      <c r="AL47">
        <f t="shared" si="10"/>
        <v>0.38</v>
      </c>
      <c r="AM47">
        <v>0.28000000000000003</v>
      </c>
      <c r="AN47">
        <v>0.48</v>
      </c>
      <c r="AO47">
        <f>AF47-AI47</f>
        <v>8.9400000000000013</v>
      </c>
      <c r="AP47" t="s">
        <v>39</v>
      </c>
      <c r="AQ47" s="5">
        <f>SQRT(AG47*AG47+AJ47*AJ47)</f>
        <v>0.21377558326431947</v>
      </c>
      <c r="AR47" t="s">
        <v>39</v>
      </c>
      <c r="AS47">
        <f>AO47*0.07</f>
        <v>0.62580000000000013</v>
      </c>
      <c r="AU47">
        <v>146</v>
      </c>
      <c r="AV47" s="6">
        <f>AO47/AU47</f>
        <v>6.1232876712328778E-2</v>
      </c>
    </row>
    <row r="48" spans="31:48">
      <c r="AE48" t="s">
        <v>26</v>
      </c>
      <c r="AF48">
        <v>9.92</v>
      </c>
      <c r="AG48">
        <v>0.23</v>
      </c>
      <c r="AI48">
        <v>0.7</v>
      </c>
      <c r="AJ48">
        <v>0.04</v>
      </c>
      <c r="AL48">
        <f t="shared" si="10"/>
        <v>0.58000000000000007</v>
      </c>
      <c r="AM48">
        <v>0.48</v>
      </c>
      <c r="AN48">
        <v>0.68</v>
      </c>
      <c r="AO48">
        <f>AF48-AI48</f>
        <v>9.2200000000000006</v>
      </c>
      <c r="AP48" t="s">
        <v>39</v>
      </c>
      <c r="AQ48" s="5">
        <f>SQRT(AG48*AG48+AJ48*AJ48)</f>
        <v>0.23345235059857505</v>
      </c>
      <c r="AR48" t="s">
        <v>39</v>
      </c>
      <c r="AS48">
        <f>AO48*0.07</f>
        <v>0.64540000000000008</v>
      </c>
      <c r="AU48">
        <v>146</v>
      </c>
      <c r="AV48" s="6">
        <f>AO48/AU48</f>
        <v>6.3150684931506856E-2</v>
      </c>
    </row>
    <row r="49" spans="31:48">
      <c r="AE49" t="s">
        <v>27</v>
      </c>
      <c r="AF49">
        <v>10.97</v>
      </c>
      <c r="AG49">
        <v>0.23</v>
      </c>
      <c r="AI49">
        <v>0.54</v>
      </c>
      <c r="AJ49">
        <v>3.7999999999999999E-2</v>
      </c>
      <c r="AL49">
        <f t="shared" si="10"/>
        <v>0.78</v>
      </c>
      <c r="AM49">
        <v>0.68</v>
      </c>
      <c r="AN49">
        <v>0.88</v>
      </c>
      <c r="AO49">
        <f>AF49-AI49</f>
        <v>10.43</v>
      </c>
      <c r="AP49" t="s">
        <v>39</v>
      </c>
      <c r="AQ49" s="5">
        <f>SQRT(AG49*AG49+AJ49*AJ49)</f>
        <v>0.23311799587333451</v>
      </c>
      <c r="AR49" t="s">
        <v>39</v>
      </c>
      <c r="AS49">
        <f>AO49*0.07</f>
        <v>0.73010000000000008</v>
      </c>
      <c r="AU49">
        <v>146</v>
      </c>
      <c r="AV49" s="6">
        <f>AO49/AU49</f>
        <v>7.1438356164383557E-2</v>
      </c>
    </row>
    <row r="50" spans="31:48">
      <c r="AE50" t="s">
        <v>28</v>
      </c>
      <c r="AF50">
        <v>11.53</v>
      </c>
      <c r="AG50">
        <v>0.24</v>
      </c>
      <c r="AI50">
        <v>0.54</v>
      </c>
      <c r="AJ50">
        <v>3.7999999999999999E-2</v>
      </c>
      <c r="AL50">
        <f t="shared" si="10"/>
        <v>0.98</v>
      </c>
      <c r="AM50">
        <v>0.88</v>
      </c>
      <c r="AN50">
        <v>1.08</v>
      </c>
      <c r="AO50">
        <f>AF50-AI50</f>
        <v>10.989999999999998</v>
      </c>
      <c r="AP50" t="s">
        <v>39</v>
      </c>
      <c r="AQ50" s="5">
        <f>SQRT(AG50*AG50+AJ50*AJ50)</f>
        <v>0.24298971171636052</v>
      </c>
      <c r="AR50" t="s">
        <v>39</v>
      </c>
      <c r="AS50">
        <f>AO50*0.07</f>
        <v>0.76929999999999998</v>
      </c>
      <c r="AU50">
        <v>146</v>
      </c>
      <c r="AV50" s="6">
        <f>AO50/AU50</f>
        <v>7.5273972602739714E-2</v>
      </c>
    </row>
    <row r="51" spans="31:48">
      <c r="AE51" t="s">
        <v>29</v>
      </c>
      <c r="AF51">
        <v>12.25</v>
      </c>
      <c r="AG51">
        <v>0.26</v>
      </c>
      <c r="AI51">
        <v>0.21</v>
      </c>
      <c r="AJ51">
        <v>0.03</v>
      </c>
      <c r="AL51">
        <f t="shared" si="10"/>
        <v>1.1800000000000002</v>
      </c>
      <c r="AM51">
        <v>1.08</v>
      </c>
      <c r="AN51">
        <v>1.28</v>
      </c>
      <c r="AO51">
        <f>AF51-AI51</f>
        <v>12.04</v>
      </c>
      <c r="AP51" t="s">
        <v>39</v>
      </c>
      <c r="AQ51" s="5">
        <f>SQRT(AG51*AG51+AJ51*AJ51)</f>
        <v>0.261725046566048</v>
      </c>
      <c r="AR51" t="s">
        <v>39</v>
      </c>
      <c r="AS51">
        <f>AO51*0.07</f>
        <v>0.84279999999999999</v>
      </c>
      <c r="AU51">
        <v>146</v>
      </c>
      <c r="AV51" s="6">
        <f>AO51/AU51</f>
        <v>8.2465753424657534E-2</v>
      </c>
    </row>
    <row r="52" spans="31:48">
      <c r="AE52" t="s">
        <v>30</v>
      </c>
      <c r="AF52">
        <v>13.63</v>
      </c>
      <c r="AG52">
        <v>0.28000000000000003</v>
      </c>
      <c r="AI52">
        <v>0.21</v>
      </c>
      <c r="AJ52">
        <v>0.03</v>
      </c>
      <c r="AL52">
        <f t="shared" si="10"/>
        <v>1.38</v>
      </c>
      <c r="AM52">
        <v>1.28</v>
      </c>
      <c r="AN52">
        <v>1.48</v>
      </c>
      <c r="AO52">
        <f>AF52-AI52</f>
        <v>13.42</v>
      </c>
      <c r="AP52" t="s">
        <v>39</v>
      </c>
      <c r="AQ52" s="5">
        <f>SQRT(AG52*AG52+AJ52*AJ52)</f>
        <v>0.28160255680657448</v>
      </c>
      <c r="AR52" t="s">
        <v>39</v>
      </c>
      <c r="AS52">
        <f>AO52*0.07</f>
        <v>0.93940000000000012</v>
      </c>
      <c r="AU52">
        <v>146</v>
      </c>
      <c r="AV52" s="6">
        <f>AO52/AU52</f>
        <v>9.1917808219178082E-2</v>
      </c>
    </row>
    <row r="53" spans="31:48">
      <c r="AE53" t="s">
        <v>31</v>
      </c>
      <c r="AF53">
        <v>16.38</v>
      </c>
      <c r="AG53">
        <v>0.98</v>
      </c>
      <c r="AI53">
        <v>0</v>
      </c>
      <c r="AL53">
        <f t="shared" si="10"/>
        <v>1.58</v>
      </c>
      <c r="AM53">
        <v>1.48</v>
      </c>
      <c r="AN53">
        <v>1.68</v>
      </c>
      <c r="AO53">
        <f>AF53-AI53</f>
        <v>16.38</v>
      </c>
      <c r="AP53" t="s">
        <v>39</v>
      </c>
      <c r="AQ53" s="5">
        <f>SQRT(AG53*AG53+AJ53*AJ53)</f>
        <v>0.98</v>
      </c>
      <c r="AR53" t="s">
        <v>39</v>
      </c>
      <c r="AS53">
        <f>AO53*0.07</f>
        <v>1.1466000000000001</v>
      </c>
      <c r="AU53">
        <v>146</v>
      </c>
      <c r="AV53" s="6">
        <f>AO53/AU53</f>
        <v>0.1121917808219178</v>
      </c>
    </row>
    <row r="54" spans="31:48">
      <c r="AO54">
        <f>AF54-AI54</f>
        <v>0</v>
      </c>
      <c r="AP54" t="s">
        <v>39</v>
      </c>
      <c r="AQ54" s="5">
        <f>SQRT(AG54*AG54+AJ54*AJ54)</f>
        <v>0</v>
      </c>
      <c r="AR54" t="s">
        <v>39</v>
      </c>
      <c r="AS54">
        <f>AO54*0.07</f>
        <v>0</v>
      </c>
      <c r="AV54" s="6" t="e">
        <f>AO54/AU54</f>
        <v>#DIV/0!</v>
      </c>
    </row>
    <row r="55" spans="31:48">
      <c r="AF55" t="s">
        <v>20</v>
      </c>
      <c r="AI55" t="s">
        <v>20</v>
      </c>
      <c r="AO55" t="s">
        <v>20</v>
      </c>
      <c r="AP55" t="s">
        <v>39</v>
      </c>
      <c r="AQ55" s="5">
        <f>SQRT(AG55*AG55+AJ55*AJ55)</f>
        <v>0</v>
      </c>
      <c r="AR55" t="s">
        <v>39</v>
      </c>
      <c r="AS55" t="s">
        <v>20</v>
      </c>
      <c r="AV55" s="6" t="e">
        <f>AO55/AU55</f>
        <v>#VALUE!</v>
      </c>
    </row>
    <row r="56" spans="31:48">
      <c r="AE56" t="s">
        <v>21</v>
      </c>
      <c r="AF56">
        <v>5.84</v>
      </c>
      <c r="AG56">
        <v>0.21</v>
      </c>
      <c r="AI56">
        <v>0.51</v>
      </c>
      <c r="AJ56">
        <v>0.04</v>
      </c>
      <c r="AL56">
        <f>(AM56+AN56)/2</f>
        <v>-0.42000000000000004</v>
      </c>
      <c r="AM56">
        <v>-0.52</v>
      </c>
      <c r="AN56">
        <v>-0.32</v>
      </c>
      <c r="AO56">
        <f>AF56-AI56</f>
        <v>5.33</v>
      </c>
      <c r="AP56" t="s">
        <v>39</v>
      </c>
      <c r="AQ56" s="5">
        <f>SQRT(AG56*AG56+AJ56*AJ56)</f>
        <v>0.21377558326431947</v>
      </c>
      <c r="AR56" t="s">
        <v>39</v>
      </c>
      <c r="AS56">
        <f>AO56*0.07</f>
        <v>0.37310000000000004</v>
      </c>
      <c r="AU56">
        <v>85</v>
      </c>
      <c r="AV56" s="6">
        <f>AO56/AU56</f>
        <v>6.2705882352941181E-2</v>
      </c>
    </row>
    <row r="57" spans="31:48">
      <c r="AE57" t="s">
        <v>22</v>
      </c>
      <c r="AF57">
        <v>6.03</v>
      </c>
      <c r="AG57">
        <v>0.18</v>
      </c>
      <c r="AI57">
        <v>0.51</v>
      </c>
      <c r="AJ57">
        <v>0.04</v>
      </c>
      <c r="AL57">
        <f t="shared" ref="AL57:AL66" si="11">(AM57+AN57)/2</f>
        <v>-0.22</v>
      </c>
      <c r="AM57">
        <v>-0.32</v>
      </c>
      <c r="AN57">
        <v>-0.12</v>
      </c>
      <c r="AO57">
        <f>AF57-AI57</f>
        <v>5.5200000000000005</v>
      </c>
      <c r="AP57" t="s">
        <v>39</v>
      </c>
      <c r="AQ57" s="5">
        <f>SQRT(AG57*AG57+AJ57*AJ57)</f>
        <v>0.18439088914585774</v>
      </c>
      <c r="AR57" t="s">
        <v>39</v>
      </c>
      <c r="AS57">
        <f>AO57*0.07</f>
        <v>0.38640000000000008</v>
      </c>
      <c r="AU57">
        <v>85</v>
      </c>
      <c r="AV57" s="6">
        <f>AO57/AU57</f>
        <v>6.4941176470588238E-2</v>
      </c>
    </row>
    <row r="58" spans="31:48">
      <c r="AE58" t="s">
        <v>23</v>
      </c>
      <c r="AF58">
        <v>6.07</v>
      </c>
      <c r="AG58">
        <v>0.19</v>
      </c>
      <c r="AI58">
        <v>0.55000000000000004</v>
      </c>
      <c r="AJ58">
        <v>0.03</v>
      </c>
      <c r="AL58">
        <f t="shared" si="11"/>
        <v>-1.9999999999999997E-2</v>
      </c>
      <c r="AM58">
        <v>-0.12</v>
      </c>
      <c r="AN58">
        <v>0.08</v>
      </c>
      <c r="AO58">
        <f>AF58-AI58</f>
        <v>5.5200000000000005</v>
      </c>
      <c r="AP58" t="s">
        <v>39</v>
      </c>
      <c r="AQ58" s="5">
        <f>SQRT(AG58*AG58+AJ58*AJ58)</f>
        <v>0.19235384061671346</v>
      </c>
      <c r="AR58" t="s">
        <v>39</v>
      </c>
      <c r="AS58">
        <f>AO58*0.07</f>
        <v>0.38640000000000008</v>
      </c>
      <c r="AU58">
        <v>85</v>
      </c>
      <c r="AV58" s="6">
        <f>AO58/AU58</f>
        <v>6.4941176470588238E-2</v>
      </c>
    </row>
    <row r="59" spans="31:48">
      <c r="AE59" t="s">
        <v>24</v>
      </c>
      <c r="AF59">
        <v>5.98</v>
      </c>
      <c r="AG59">
        <v>0.16</v>
      </c>
      <c r="AI59">
        <v>0.55000000000000004</v>
      </c>
      <c r="AJ59">
        <v>0.03</v>
      </c>
      <c r="AL59">
        <f t="shared" si="11"/>
        <v>0.18000000000000002</v>
      </c>
      <c r="AM59">
        <v>0.08</v>
      </c>
      <c r="AN59">
        <v>0.28000000000000003</v>
      </c>
      <c r="AO59">
        <f>AF59-AI59</f>
        <v>5.4300000000000006</v>
      </c>
      <c r="AP59" t="s">
        <v>39</v>
      </c>
      <c r="AQ59" s="5">
        <f>SQRT(AG59*AG59+AJ59*AJ59)</f>
        <v>0.16278820596099708</v>
      </c>
      <c r="AR59" t="s">
        <v>39</v>
      </c>
      <c r="AS59">
        <f>AO59*0.07</f>
        <v>0.3801000000000001</v>
      </c>
      <c r="AU59">
        <v>85</v>
      </c>
      <c r="AV59" s="6">
        <f>AO59/AU59</f>
        <v>6.3882352941176473E-2</v>
      </c>
    </row>
    <row r="60" spans="31:48">
      <c r="AE60" t="s">
        <v>25</v>
      </c>
      <c r="AF60">
        <v>5.96</v>
      </c>
      <c r="AG60">
        <v>0.15</v>
      </c>
      <c r="AI60">
        <v>0.49</v>
      </c>
      <c r="AJ60">
        <v>0.03</v>
      </c>
      <c r="AL60">
        <f t="shared" si="11"/>
        <v>0.38</v>
      </c>
      <c r="AM60">
        <v>0.28000000000000003</v>
      </c>
      <c r="AN60">
        <v>0.48</v>
      </c>
      <c r="AO60">
        <f>AF60-AI60</f>
        <v>5.47</v>
      </c>
      <c r="AP60" t="s">
        <v>39</v>
      </c>
      <c r="AQ60" s="5">
        <f>SQRT(AG60*AG60+AJ60*AJ60)</f>
        <v>0.15297058540778355</v>
      </c>
      <c r="AR60" t="s">
        <v>39</v>
      </c>
      <c r="AS60">
        <f>AO60*0.07</f>
        <v>0.38290000000000002</v>
      </c>
      <c r="AU60">
        <v>85</v>
      </c>
      <c r="AV60" s="6">
        <f>AO60/AU60</f>
        <v>6.4352941176470585E-2</v>
      </c>
    </row>
    <row r="61" spans="31:48">
      <c r="AE61" t="s">
        <v>26</v>
      </c>
      <c r="AF61">
        <v>6.39</v>
      </c>
      <c r="AG61">
        <v>0.16</v>
      </c>
      <c r="AI61">
        <v>0.49</v>
      </c>
      <c r="AJ61">
        <v>0.03</v>
      </c>
      <c r="AL61">
        <f t="shared" si="11"/>
        <v>0.58000000000000007</v>
      </c>
      <c r="AM61">
        <v>0.48</v>
      </c>
      <c r="AN61">
        <v>0.68</v>
      </c>
      <c r="AO61">
        <f>AF61-AI61</f>
        <v>5.8999999999999995</v>
      </c>
      <c r="AP61" t="s">
        <v>39</v>
      </c>
      <c r="AQ61" s="5">
        <f>SQRT(AG61*AG61+AJ61*AJ61)</f>
        <v>0.16278820596099708</v>
      </c>
      <c r="AR61" t="s">
        <v>39</v>
      </c>
      <c r="AS61">
        <f>AO61*0.07</f>
        <v>0.41299999999999998</v>
      </c>
      <c r="AU61">
        <v>85</v>
      </c>
      <c r="AV61" s="6">
        <f>AO61/AU61</f>
        <v>6.9411764705882353E-2</v>
      </c>
    </row>
    <row r="62" spans="31:48">
      <c r="AE62" t="s">
        <v>27</v>
      </c>
      <c r="AF62">
        <v>7.05</v>
      </c>
      <c r="AG62">
        <v>0.17</v>
      </c>
      <c r="AI62">
        <v>0.36</v>
      </c>
      <c r="AJ62">
        <v>0.03</v>
      </c>
      <c r="AL62">
        <f t="shared" si="11"/>
        <v>0.78</v>
      </c>
      <c r="AM62">
        <v>0.68</v>
      </c>
      <c r="AN62">
        <v>0.88</v>
      </c>
      <c r="AO62">
        <f>AF62-AI62</f>
        <v>6.6899999999999995</v>
      </c>
      <c r="AP62" t="s">
        <v>39</v>
      </c>
      <c r="AQ62" s="5">
        <f>SQRT(AG62*AG62+AJ62*AJ62)</f>
        <v>0.17262676501632071</v>
      </c>
      <c r="AR62" t="s">
        <v>39</v>
      </c>
      <c r="AS62">
        <f>AO62*0.07</f>
        <v>0.46829999999999999</v>
      </c>
      <c r="AU62">
        <v>85</v>
      </c>
      <c r="AV62" s="6">
        <f>AO62/AU62</f>
        <v>7.8705882352941167E-2</v>
      </c>
    </row>
    <row r="63" spans="31:48">
      <c r="AE63" t="s">
        <v>28</v>
      </c>
      <c r="AF63">
        <v>7.55</v>
      </c>
      <c r="AG63">
        <v>0.19</v>
      </c>
      <c r="AI63">
        <v>0.36</v>
      </c>
      <c r="AJ63">
        <v>0.03</v>
      </c>
      <c r="AL63">
        <f t="shared" si="11"/>
        <v>0.98</v>
      </c>
      <c r="AM63">
        <v>0.88</v>
      </c>
      <c r="AN63">
        <v>1.08</v>
      </c>
      <c r="AO63">
        <f>AF63-AI63</f>
        <v>7.1899999999999995</v>
      </c>
      <c r="AP63" t="s">
        <v>39</v>
      </c>
      <c r="AQ63" s="5">
        <f>SQRT(AG63*AG63+AJ63*AJ63)</f>
        <v>0.19235384061671346</v>
      </c>
      <c r="AR63" t="s">
        <v>39</v>
      </c>
      <c r="AS63">
        <f>AO63*0.07</f>
        <v>0.50329999999999997</v>
      </c>
      <c r="AU63">
        <v>85</v>
      </c>
      <c r="AV63" s="6">
        <f>AO63/AU63</f>
        <v>8.4588235294117645E-2</v>
      </c>
    </row>
    <row r="64" spans="31:48">
      <c r="AE64" t="s">
        <v>29</v>
      </c>
      <c r="AF64">
        <v>8.43</v>
      </c>
      <c r="AG64">
        <v>0.2</v>
      </c>
      <c r="AI64">
        <v>0.31</v>
      </c>
      <c r="AJ64">
        <v>0.06</v>
      </c>
      <c r="AL64">
        <f t="shared" si="11"/>
        <v>1.1800000000000002</v>
      </c>
      <c r="AM64">
        <v>1.08</v>
      </c>
      <c r="AN64">
        <v>1.28</v>
      </c>
      <c r="AO64">
        <f>AF64-AI64</f>
        <v>8.1199999999999992</v>
      </c>
      <c r="AP64" t="s">
        <v>39</v>
      </c>
      <c r="AQ64" s="5">
        <f>SQRT(AG64*AG64+AJ64*AJ64)</f>
        <v>0.20880613017821101</v>
      </c>
      <c r="AR64" t="s">
        <v>39</v>
      </c>
      <c r="AS64">
        <f>AO64*0.07</f>
        <v>0.56840000000000002</v>
      </c>
      <c r="AU64">
        <v>85</v>
      </c>
      <c r="AV64" s="6">
        <f>AO64/AU64</f>
        <v>9.5529411764705877E-2</v>
      </c>
    </row>
    <row r="65" spans="31:48">
      <c r="AE65" t="s">
        <v>30</v>
      </c>
      <c r="AF65">
        <v>9.52</v>
      </c>
      <c r="AG65">
        <v>0.22</v>
      </c>
      <c r="AI65">
        <v>0.31</v>
      </c>
      <c r="AJ65">
        <v>0.06</v>
      </c>
      <c r="AL65">
        <f t="shared" si="11"/>
        <v>1.38</v>
      </c>
      <c r="AM65">
        <v>1.28</v>
      </c>
      <c r="AN65">
        <v>1.48</v>
      </c>
      <c r="AO65">
        <f>AF65-AI65</f>
        <v>9.2099999999999991</v>
      </c>
      <c r="AP65" t="s">
        <v>39</v>
      </c>
      <c r="AQ65" s="5">
        <f>SQRT(AG65*AG65+AJ65*AJ65)</f>
        <v>0.22803508501982758</v>
      </c>
      <c r="AR65" t="s">
        <v>39</v>
      </c>
      <c r="AS65">
        <f>AO65*0.07</f>
        <v>0.64470000000000005</v>
      </c>
      <c r="AU65">
        <v>85</v>
      </c>
      <c r="AV65" s="6">
        <f>AO65/AU65</f>
        <v>0.10835294117647058</v>
      </c>
    </row>
    <row r="66" spans="31:48">
      <c r="AE66" t="s">
        <v>31</v>
      </c>
      <c r="AF66">
        <v>10.73</v>
      </c>
      <c r="AG66">
        <v>1.31</v>
      </c>
      <c r="AI66">
        <v>0</v>
      </c>
      <c r="AL66">
        <f t="shared" si="11"/>
        <v>1.58</v>
      </c>
      <c r="AM66">
        <v>1.48</v>
      </c>
      <c r="AN66">
        <v>1.68</v>
      </c>
      <c r="AO66">
        <f>AF66-AI66</f>
        <v>10.73</v>
      </c>
      <c r="AP66" t="s">
        <v>39</v>
      </c>
      <c r="AQ66" s="5">
        <f>SQRT(AG66*AG66+AJ66*AJ66)</f>
        <v>1.31</v>
      </c>
      <c r="AR66" t="s">
        <v>39</v>
      </c>
      <c r="AS66">
        <f>AO66*0.07</f>
        <v>0.7511000000000001</v>
      </c>
      <c r="AU66">
        <v>85</v>
      </c>
      <c r="AV66" s="6">
        <f>AO66/AU66</f>
        <v>0.12623529411764706</v>
      </c>
    </row>
  </sheetData>
  <phoneticPr fontId="2" type="noConversion"/>
  <hyperlinks>
    <hyperlink ref="A1" r:id="rId1" xr:uid="{C0485903-CAD2-4AFC-BE24-82C0599D5733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522CB-9026-483E-9FA1-CFE3429FB421}">
  <dimension ref="A1:X17"/>
  <sheetViews>
    <sheetView zoomScaleNormal="100" workbookViewId="0">
      <selection activeCell="A21" sqref="A21:N33"/>
    </sheetView>
  </sheetViews>
  <sheetFormatPr defaultRowHeight="13.8"/>
  <cols>
    <col min="1" max="1" width="18.33203125" bestFit="1" customWidth="1"/>
    <col min="2" max="5" width="14.109375" bestFit="1" customWidth="1"/>
    <col min="6" max="6" width="12.88671875" bestFit="1" customWidth="1"/>
    <col min="9" max="9" width="18.33203125" bestFit="1" customWidth="1"/>
    <col min="10" max="12" width="12.88671875" bestFit="1" customWidth="1"/>
    <col min="13" max="13" width="14.109375" bestFit="1" customWidth="1"/>
    <col min="14" max="14" width="12.88671875" bestFit="1" customWidth="1"/>
  </cols>
  <sheetData>
    <row r="1" spans="1:24" ht="15">
      <c r="A1">
        <v>-3.52</v>
      </c>
      <c r="B1">
        <v>-3.62</v>
      </c>
      <c r="C1">
        <v>-3.42</v>
      </c>
      <c r="D1">
        <v>0.12109499999999999</v>
      </c>
      <c r="E1">
        <v>5.8891199999999998E-2</v>
      </c>
      <c r="F1">
        <v>0</v>
      </c>
      <c r="I1">
        <f t="shared" ref="I1:I16" si="0">A1+2.91</f>
        <v>-0.60999999999999988</v>
      </c>
      <c r="J1">
        <f t="shared" ref="J1:J16" si="1">B1+2.91</f>
        <v>-0.71</v>
      </c>
      <c r="K1">
        <f t="shared" ref="K1:K16" si="2">C1+2.91</f>
        <v>-0.50999999999999979</v>
      </c>
      <c r="L1">
        <v>31.160599999999999</v>
      </c>
      <c r="M1">
        <v>5.2676699999999999</v>
      </c>
      <c r="N1">
        <v>0</v>
      </c>
      <c r="Q1" s="4" t="s">
        <v>11</v>
      </c>
      <c r="R1" s="4"/>
      <c r="S1" s="3" t="s">
        <v>13</v>
      </c>
      <c r="T1" s="3"/>
      <c r="U1" s="3"/>
      <c r="V1" s="3" t="s">
        <v>12</v>
      </c>
      <c r="W1" s="3"/>
      <c r="X1" s="3"/>
    </row>
    <row r="2" spans="1:24" ht="15">
      <c r="A2">
        <v>-3.32</v>
      </c>
      <c r="B2">
        <v>-3.42</v>
      </c>
      <c r="C2">
        <v>-3.22</v>
      </c>
      <c r="D2">
        <v>0.131217</v>
      </c>
      <c r="E2">
        <v>4.7849099999999999E-2</v>
      </c>
      <c r="F2">
        <v>0</v>
      </c>
      <c r="I2">
        <f t="shared" si="0"/>
        <v>-0.4099999999999997</v>
      </c>
      <c r="J2">
        <f t="shared" si="1"/>
        <v>-0.50999999999999979</v>
      </c>
      <c r="K2">
        <f t="shared" si="2"/>
        <v>-0.31000000000000005</v>
      </c>
      <c r="L2">
        <v>28.376899999999999</v>
      </c>
      <c r="M2">
        <v>4.3683100000000001</v>
      </c>
      <c r="N2">
        <v>0</v>
      </c>
      <c r="Q2" s="1">
        <v>2.2000000000000002</v>
      </c>
      <c r="R2">
        <v>2.4</v>
      </c>
      <c r="S2">
        <v>31.1</v>
      </c>
      <c r="T2" t="s">
        <v>4</v>
      </c>
      <c r="U2">
        <v>5.3</v>
      </c>
      <c r="V2">
        <v>76.900000000000006</v>
      </c>
      <c r="W2" t="s">
        <v>4</v>
      </c>
      <c r="X2">
        <v>11</v>
      </c>
    </row>
    <row r="3" spans="1:24" ht="15">
      <c r="A3">
        <v>-3.12</v>
      </c>
      <c r="B3">
        <v>-3.22</v>
      </c>
      <c r="C3">
        <v>-3.02</v>
      </c>
      <c r="D3">
        <v>0.160663</v>
      </c>
      <c r="E3">
        <v>4.4168399999999997E-2</v>
      </c>
      <c r="F3">
        <v>0</v>
      </c>
      <c r="I3">
        <f t="shared" si="0"/>
        <v>-0.20999999999999996</v>
      </c>
      <c r="J3">
        <f t="shared" si="1"/>
        <v>-0.31000000000000005</v>
      </c>
      <c r="K3">
        <f t="shared" si="2"/>
        <v>-0.10999999999999988</v>
      </c>
      <c r="L3">
        <v>27.7516</v>
      </c>
      <c r="M3">
        <v>3.9400400000000002</v>
      </c>
      <c r="N3">
        <v>0</v>
      </c>
      <c r="Q3" s="1">
        <v>2.4</v>
      </c>
      <c r="R3">
        <v>2.6</v>
      </c>
      <c r="S3">
        <v>28.3</v>
      </c>
      <c r="T3" t="s">
        <v>4</v>
      </c>
      <c r="U3">
        <v>4.4000000000000004</v>
      </c>
      <c r="V3">
        <v>71</v>
      </c>
      <c r="W3" t="s">
        <v>4</v>
      </c>
      <c r="X3">
        <v>9</v>
      </c>
    </row>
    <row r="4" spans="1:24" ht="15">
      <c r="A4">
        <v>-2.92</v>
      </c>
      <c r="B4">
        <v>-3.02</v>
      </c>
      <c r="C4">
        <v>-2.82</v>
      </c>
      <c r="D4">
        <v>0.177594</v>
      </c>
      <c r="E4">
        <v>4.0487700000000001E-2</v>
      </c>
      <c r="F4">
        <v>0</v>
      </c>
      <c r="I4">
        <f t="shared" si="0"/>
        <v>-9.9999999999997868E-3</v>
      </c>
      <c r="J4">
        <f t="shared" si="1"/>
        <v>-0.10999999999999988</v>
      </c>
      <c r="K4">
        <f t="shared" si="2"/>
        <v>9.0000000000000302E-2</v>
      </c>
      <c r="L4">
        <v>26.6296</v>
      </c>
      <c r="M4">
        <v>3.5974300000000001</v>
      </c>
      <c r="N4">
        <v>0</v>
      </c>
      <c r="Q4" s="1">
        <v>2.6</v>
      </c>
      <c r="R4">
        <v>2.8</v>
      </c>
      <c r="S4">
        <v>27.8</v>
      </c>
      <c r="T4" t="s">
        <v>4</v>
      </c>
      <c r="U4">
        <v>4</v>
      </c>
      <c r="V4">
        <v>69.900000000000006</v>
      </c>
      <c r="W4" t="s">
        <v>4</v>
      </c>
      <c r="X4">
        <v>8.3000000000000007</v>
      </c>
    </row>
    <row r="5" spans="1:24" ht="15">
      <c r="A5">
        <v>-2.72</v>
      </c>
      <c r="B5">
        <v>-2.82</v>
      </c>
      <c r="C5">
        <v>-2.62</v>
      </c>
      <c r="D5">
        <v>0.22728300000000001</v>
      </c>
      <c r="E5">
        <v>3.5886800000000003E-2</v>
      </c>
      <c r="F5">
        <v>0</v>
      </c>
      <c r="I5">
        <f t="shared" si="0"/>
        <v>0.18999999999999995</v>
      </c>
      <c r="J5">
        <f t="shared" si="1"/>
        <v>9.0000000000000302E-2</v>
      </c>
      <c r="K5">
        <f t="shared" si="2"/>
        <v>0.29000000000000004</v>
      </c>
      <c r="L5">
        <v>28.7623</v>
      </c>
      <c r="M5">
        <v>3.2119900000000001</v>
      </c>
      <c r="N5">
        <v>0</v>
      </c>
      <c r="Q5" s="1">
        <v>2.8</v>
      </c>
      <c r="R5">
        <v>3</v>
      </c>
      <c r="S5">
        <v>26.6</v>
      </c>
      <c r="T5" t="s">
        <v>4</v>
      </c>
      <c r="U5">
        <v>3.7</v>
      </c>
      <c r="V5">
        <v>67.599999999999994</v>
      </c>
      <c r="W5" t="s">
        <v>4</v>
      </c>
      <c r="X5">
        <v>7.5</v>
      </c>
    </row>
    <row r="6" spans="1:24" ht="15">
      <c r="A6">
        <v>-2.52</v>
      </c>
      <c r="B6">
        <v>-2.62</v>
      </c>
      <c r="C6">
        <v>-2.42</v>
      </c>
      <c r="D6">
        <v>0.27126800000000001</v>
      </c>
      <c r="E6">
        <v>3.1285899999999998E-2</v>
      </c>
      <c r="F6">
        <v>0</v>
      </c>
      <c r="I6">
        <f t="shared" si="0"/>
        <v>0.39000000000000012</v>
      </c>
      <c r="J6">
        <f t="shared" si="1"/>
        <v>0.29000000000000004</v>
      </c>
      <c r="K6">
        <f t="shared" si="2"/>
        <v>0.49000000000000021</v>
      </c>
      <c r="L6">
        <v>30.886500000000002</v>
      </c>
      <c r="M6">
        <v>2.7837299999999998</v>
      </c>
      <c r="N6">
        <v>0</v>
      </c>
      <c r="Q6" s="1">
        <v>3</v>
      </c>
      <c r="R6">
        <v>3.2</v>
      </c>
      <c r="S6">
        <v>28.8</v>
      </c>
      <c r="T6" t="s">
        <v>4</v>
      </c>
      <c r="U6">
        <v>3.3</v>
      </c>
      <c r="V6">
        <v>72.099999999999994</v>
      </c>
      <c r="W6" t="s">
        <v>4</v>
      </c>
      <c r="X6">
        <v>6.7</v>
      </c>
    </row>
    <row r="7" spans="1:24" ht="15">
      <c r="A7">
        <v>-2.3199999999999998</v>
      </c>
      <c r="B7">
        <v>-2.42</v>
      </c>
      <c r="C7">
        <v>-2.2200000000000002</v>
      </c>
      <c r="D7">
        <v>0.30255300000000002</v>
      </c>
      <c r="E7">
        <v>2.3924500000000001E-2</v>
      </c>
      <c r="F7">
        <v>0</v>
      </c>
      <c r="I7">
        <f t="shared" si="0"/>
        <v>0.5900000000000003</v>
      </c>
      <c r="J7">
        <f t="shared" si="1"/>
        <v>0.49000000000000021</v>
      </c>
      <c r="K7">
        <f t="shared" si="2"/>
        <v>0.69</v>
      </c>
      <c r="L7">
        <v>32</v>
      </c>
      <c r="M7">
        <v>2.14133</v>
      </c>
      <c r="N7">
        <v>0</v>
      </c>
      <c r="Q7" s="1">
        <v>3.2</v>
      </c>
      <c r="R7">
        <v>3.4</v>
      </c>
      <c r="S7">
        <v>30.8</v>
      </c>
      <c r="T7" t="s">
        <v>4</v>
      </c>
      <c r="U7">
        <v>2.8</v>
      </c>
      <c r="V7">
        <v>76.3</v>
      </c>
      <c r="W7" t="s">
        <v>4</v>
      </c>
      <c r="X7">
        <v>5.8</v>
      </c>
    </row>
    <row r="8" spans="1:24" ht="15">
      <c r="A8">
        <v>-2.12</v>
      </c>
      <c r="B8">
        <v>-2.2200000000000002</v>
      </c>
      <c r="C8">
        <v>-2.02</v>
      </c>
      <c r="D8">
        <v>0.34662999999999999</v>
      </c>
      <c r="E8">
        <v>2.1163999999999999E-2</v>
      </c>
      <c r="F8">
        <v>0</v>
      </c>
      <c r="I8">
        <f t="shared" si="0"/>
        <v>0.79</v>
      </c>
      <c r="J8">
        <f t="shared" si="1"/>
        <v>0.69</v>
      </c>
      <c r="K8">
        <f t="shared" si="2"/>
        <v>0.89000000000000012</v>
      </c>
      <c r="L8">
        <v>34.646700000000003</v>
      </c>
      <c r="M8">
        <v>1.8843700000000001</v>
      </c>
      <c r="N8">
        <v>0</v>
      </c>
      <c r="Q8" s="1">
        <v>3.4</v>
      </c>
      <c r="R8">
        <v>3.6</v>
      </c>
      <c r="S8">
        <v>32</v>
      </c>
      <c r="T8" t="s">
        <v>4</v>
      </c>
      <c r="U8">
        <v>2.2000000000000002</v>
      </c>
      <c r="V8">
        <v>78.8</v>
      </c>
      <c r="W8" t="s">
        <v>4</v>
      </c>
      <c r="X8">
        <v>4.5</v>
      </c>
    </row>
    <row r="9" spans="1:24" ht="15">
      <c r="A9">
        <v>-1.92</v>
      </c>
      <c r="B9">
        <v>-2.02</v>
      </c>
      <c r="C9">
        <v>-1.82</v>
      </c>
      <c r="D9">
        <v>0.36033999999999999</v>
      </c>
      <c r="E9">
        <v>1.74833E-2</v>
      </c>
      <c r="F9">
        <v>0</v>
      </c>
      <c r="I9">
        <f t="shared" si="0"/>
        <v>0.99000000000000021</v>
      </c>
      <c r="J9">
        <f t="shared" si="1"/>
        <v>0.89000000000000012</v>
      </c>
      <c r="K9">
        <f t="shared" si="2"/>
        <v>1.0900000000000001</v>
      </c>
      <c r="L9">
        <v>34.9893</v>
      </c>
      <c r="M9">
        <v>1.54176</v>
      </c>
      <c r="N9">
        <v>0</v>
      </c>
      <c r="Q9" s="1">
        <v>3.6</v>
      </c>
      <c r="R9">
        <v>3.8</v>
      </c>
      <c r="S9">
        <v>34.6</v>
      </c>
      <c r="T9" t="s">
        <v>4</v>
      </c>
      <c r="U9">
        <v>1.9</v>
      </c>
      <c r="V9">
        <v>84.1</v>
      </c>
      <c r="W9" t="s">
        <v>4</v>
      </c>
      <c r="X9">
        <v>4</v>
      </c>
    </row>
    <row r="10" spans="1:24" ht="15">
      <c r="A10">
        <v>-1.72</v>
      </c>
      <c r="B10">
        <v>-1.82</v>
      </c>
      <c r="C10">
        <v>-1.62</v>
      </c>
      <c r="D10">
        <v>0.37892799999999999</v>
      </c>
      <c r="E10">
        <v>1.84035E-2</v>
      </c>
      <c r="F10">
        <v>0</v>
      </c>
      <c r="I10">
        <f t="shared" si="0"/>
        <v>1.1900000000000002</v>
      </c>
      <c r="J10">
        <f t="shared" si="1"/>
        <v>1.0900000000000001</v>
      </c>
      <c r="K10">
        <f t="shared" si="2"/>
        <v>1.29</v>
      </c>
      <c r="L10">
        <v>36</v>
      </c>
      <c r="M10">
        <v>1.54176</v>
      </c>
      <c r="N10">
        <v>0</v>
      </c>
      <c r="Q10" s="1">
        <v>3.8</v>
      </c>
      <c r="R10">
        <v>4</v>
      </c>
      <c r="S10">
        <v>34.9</v>
      </c>
      <c r="T10" t="s">
        <v>4</v>
      </c>
      <c r="U10">
        <v>1.6</v>
      </c>
      <c r="V10">
        <v>84.2</v>
      </c>
      <c r="W10" t="s">
        <v>4</v>
      </c>
      <c r="X10">
        <v>3.3</v>
      </c>
    </row>
    <row r="11" spans="1:24" ht="15">
      <c r="A11">
        <v>-1.52</v>
      </c>
      <c r="B11">
        <v>-1.62</v>
      </c>
      <c r="C11">
        <v>-1.42</v>
      </c>
      <c r="D11">
        <v>0.37616699999999997</v>
      </c>
      <c r="E11">
        <v>2.2084199999999998E-2</v>
      </c>
      <c r="F11">
        <v>0</v>
      </c>
      <c r="I11">
        <f t="shared" si="0"/>
        <v>1.3900000000000001</v>
      </c>
      <c r="J11">
        <f t="shared" si="1"/>
        <v>1.29</v>
      </c>
      <c r="K11">
        <f t="shared" si="2"/>
        <v>1.4900000000000002</v>
      </c>
      <c r="L11">
        <v>35.5032</v>
      </c>
      <c r="M11">
        <v>1.84154</v>
      </c>
      <c r="N11">
        <v>0</v>
      </c>
      <c r="Q11" s="1">
        <v>4</v>
      </c>
      <c r="R11">
        <v>4.2</v>
      </c>
      <c r="S11">
        <v>35.9</v>
      </c>
      <c r="T11" t="s">
        <v>4</v>
      </c>
      <c r="U11">
        <v>1.6</v>
      </c>
      <c r="V11">
        <v>85.6</v>
      </c>
      <c r="W11" t="s">
        <v>4</v>
      </c>
      <c r="X11">
        <v>3.4</v>
      </c>
    </row>
    <row r="12" spans="1:24" ht="15">
      <c r="A12">
        <v>-1.32</v>
      </c>
      <c r="B12">
        <v>-1.42</v>
      </c>
      <c r="C12">
        <v>-1.22</v>
      </c>
      <c r="D12">
        <v>0.350495</v>
      </c>
      <c r="E12">
        <v>1.74833E-2</v>
      </c>
      <c r="F12">
        <v>0</v>
      </c>
      <c r="I12">
        <f t="shared" si="0"/>
        <v>1.59</v>
      </c>
      <c r="J12">
        <f t="shared" si="1"/>
        <v>1.4900000000000002</v>
      </c>
      <c r="K12">
        <f t="shared" si="2"/>
        <v>1.6900000000000002</v>
      </c>
      <c r="L12">
        <v>33.113500000000002</v>
      </c>
      <c r="M12">
        <v>1.54176</v>
      </c>
      <c r="N12">
        <v>0</v>
      </c>
      <c r="Q12" s="1">
        <v>4.2</v>
      </c>
      <c r="R12">
        <v>4.4000000000000004</v>
      </c>
      <c r="S12">
        <v>35.5</v>
      </c>
      <c r="T12" t="s">
        <v>4</v>
      </c>
      <c r="U12">
        <v>1.9</v>
      </c>
      <c r="V12">
        <v>83.3</v>
      </c>
      <c r="W12" t="s">
        <v>4</v>
      </c>
      <c r="X12">
        <v>4</v>
      </c>
    </row>
    <row r="13" spans="1:24" ht="15">
      <c r="A13">
        <v>-1.1200000000000001</v>
      </c>
      <c r="B13">
        <v>-1.22</v>
      </c>
      <c r="C13">
        <v>-1.02</v>
      </c>
      <c r="D13">
        <v>0.30071300000000001</v>
      </c>
      <c r="E13">
        <v>1.38026E-2</v>
      </c>
      <c r="F13">
        <v>0</v>
      </c>
      <c r="I13">
        <f t="shared" si="0"/>
        <v>1.79</v>
      </c>
      <c r="J13">
        <f t="shared" si="1"/>
        <v>1.6900000000000002</v>
      </c>
      <c r="K13">
        <f t="shared" si="2"/>
        <v>1.8900000000000001</v>
      </c>
      <c r="L13">
        <v>28.8565</v>
      </c>
      <c r="M13">
        <v>1.1991400000000001</v>
      </c>
      <c r="N13">
        <v>0</v>
      </c>
      <c r="Q13" s="1">
        <v>4.4000000000000004</v>
      </c>
      <c r="R13">
        <v>4.5999999999999996</v>
      </c>
      <c r="S13">
        <v>33.1</v>
      </c>
      <c r="T13" t="s">
        <v>4</v>
      </c>
      <c r="U13">
        <v>1.6</v>
      </c>
      <c r="V13">
        <v>76.900000000000006</v>
      </c>
      <c r="W13" t="s">
        <v>4</v>
      </c>
      <c r="X13">
        <v>3.3</v>
      </c>
    </row>
    <row r="14" spans="1:24" ht="15">
      <c r="A14">
        <v>-0.92</v>
      </c>
      <c r="B14">
        <v>-1.02</v>
      </c>
      <c r="C14">
        <v>-0.82</v>
      </c>
      <c r="D14">
        <v>0.25323200000000001</v>
      </c>
      <c r="E14">
        <v>1.6563100000000001E-2</v>
      </c>
      <c r="F14">
        <v>0</v>
      </c>
      <c r="I14">
        <f t="shared" si="0"/>
        <v>1.9900000000000002</v>
      </c>
      <c r="J14">
        <f t="shared" si="1"/>
        <v>1.8900000000000001</v>
      </c>
      <c r="K14">
        <f t="shared" si="2"/>
        <v>2.0900000000000003</v>
      </c>
      <c r="L14">
        <v>24.907900000000001</v>
      </c>
      <c r="M14">
        <v>1.4560999999999999</v>
      </c>
      <c r="N14">
        <v>0</v>
      </c>
      <c r="Q14" s="1">
        <v>4.5999999999999996</v>
      </c>
      <c r="R14">
        <v>4.8</v>
      </c>
      <c r="S14">
        <v>28.8</v>
      </c>
      <c r="T14" t="s">
        <v>4</v>
      </c>
      <c r="U14">
        <v>1.3</v>
      </c>
      <c r="V14">
        <v>66.2</v>
      </c>
      <c r="W14" t="s">
        <v>4</v>
      </c>
      <c r="X14">
        <v>2.6</v>
      </c>
    </row>
    <row r="15" spans="1:24" ht="15">
      <c r="A15">
        <v>-0.72</v>
      </c>
      <c r="B15">
        <v>-0.82</v>
      </c>
      <c r="C15">
        <v>-0.62</v>
      </c>
      <c r="D15">
        <v>0.18900400000000001</v>
      </c>
      <c r="E15">
        <v>1.38026E-2</v>
      </c>
      <c r="F15">
        <v>0</v>
      </c>
      <c r="I15">
        <f t="shared" si="0"/>
        <v>2.1900000000000004</v>
      </c>
      <c r="J15">
        <f t="shared" si="1"/>
        <v>2.0900000000000003</v>
      </c>
      <c r="K15">
        <f t="shared" si="2"/>
        <v>2.29</v>
      </c>
      <c r="L15">
        <v>19.357600000000001</v>
      </c>
      <c r="M15">
        <v>1.1520300000000001</v>
      </c>
      <c r="N15">
        <v>0</v>
      </c>
      <c r="Q15" s="1">
        <v>4.8</v>
      </c>
      <c r="R15">
        <v>5</v>
      </c>
      <c r="S15">
        <v>24.8</v>
      </c>
      <c r="T15" t="s">
        <v>4</v>
      </c>
      <c r="U15">
        <v>1.5</v>
      </c>
      <c r="V15">
        <v>56.1</v>
      </c>
      <c r="W15" t="s">
        <v>4</v>
      </c>
      <c r="X15">
        <v>3</v>
      </c>
    </row>
    <row r="16" spans="1:24" ht="15">
      <c r="A16">
        <v>-0.52</v>
      </c>
      <c r="B16">
        <v>-0.62</v>
      </c>
      <c r="C16">
        <v>-0.42</v>
      </c>
      <c r="D16">
        <v>0.17244100000000001</v>
      </c>
      <c r="E16">
        <v>2.9445599999999999E-2</v>
      </c>
      <c r="F16">
        <v>0</v>
      </c>
      <c r="I16">
        <f t="shared" si="0"/>
        <v>2.39</v>
      </c>
      <c r="J16">
        <f t="shared" si="1"/>
        <v>2.29</v>
      </c>
      <c r="K16">
        <f t="shared" si="2"/>
        <v>2.4900000000000002</v>
      </c>
      <c r="L16">
        <v>18.1328</v>
      </c>
      <c r="M16">
        <v>2.6552500000000001</v>
      </c>
      <c r="N16">
        <v>0</v>
      </c>
      <c r="Q16" s="1">
        <v>5</v>
      </c>
      <c r="R16">
        <v>5.2</v>
      </c>
      <c r="S16">
        <v>19.399999999999999</v>
      </c>
      <c r="T16" t="s">
        <v>4</v>
      </c>
      <c r="U16">
        <v>1.2</v>
      </c>
      <c r="V16">
        <v>43.1</v>
      </c>
      <c r="W16" t="s">
        <v>4</v>
      </c>
      <c r="X16">
        <v>2.5</v>
      </c>
    </row>
    <row r="17" spans="17:24" ht="15">
      <c r="Q17" s="1">
        <v>5.2</v>
      </c>
      <c r="R17">
        <v>5.4</v>
      </c>
      <c r="S17">
        <v>18.100000000000001</v>
      </c>
      <c r="T17" t="s">
        <v>4</v>
      </c>
      <c r="U17">
        <v>2.7</v>
      </c>
      <c r="V17">
        <v>39</v>
      </c>
      <c r="W17" t="s">
        <v>4</v>
      </c>
      <c r="X17">
        <v>5.6</v>
      </c>
    </row>
  </sheetData>
  <mergeCells count="3">
    <mergeCell ref="S1:U1"/>
    <mergeCell ref="Q1:R1"/>
    <mergeCell ref="V1:X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2011 158A</vt:lpstr>
      <vt:lpstr>1999 158A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xzyu</dc:creator>
  <cp:lastModifiedBy>xzyu</cp:lastModifiedBy>
  <dcterms:created xsi:type="dcterms:W3CDTF">2015-06-05T18:19:34Z</dcterms:created>
  <dcterms:modified xsi:type="dcterms:W3CDTF">2026-01-09T09:56:58Z</dcterms:modified>
</cp:coreProperties>
</file>