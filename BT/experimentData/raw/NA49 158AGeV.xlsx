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\\wsl$\Ubuntu-20.04\home\xiaozhou\WorkSpace\NuclearModel\tglaubermc\runglauber_v3.3\BT\experimentData\raw\"/>
    </mc:Choice>
  </mc:AlternateContent>
  <xr:revisionPtr revIDLastSave="0" documentId="13_ncr:1_{AB194EE9-196B-42E6-9523-B9DFE7F188D6}" xr6:coauthVersionLast="36" xr6:coauthVersionMax="36" xr10:uidLastSave="{00000000-0000-0000-0000-000000000000}"/>
  <bookViews>
    <workbookView xWindow="0" yWindow="0" windowWidth="30720" windowHeight="13332" activeTab="1" xr2:uid="{00000000-000D-0000-FFFF-FFFF00000000}"/>
  </bookViews>
  <sheets>
    <sheet name="2011 158A" sheetId="1" r:id="rId1"/>
    <sheet name="1999 158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6" i="2" l="1"/>
  <c r="I16" i="2"/>
  <c r="K16" i="2"/>
  <c r="J1" i="2"/>
  <c r="K1" i="2"/>
  <c r="J2" i="2"/>
  <c r="K2" i="2"/>
  <c r="J3" i="2"/>
  <c r="K3" i="2"/>
  <c r="J4" i="2"/>
  <c r="K4" i="2"/>
  <c r="J5" i="2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" i="2"/>
  <c r="I18" i="1"/>
  <c r="I19" i="1"/>
  <c r="I20" i="1"/>
  <c r="I21" i="1"/>
  <c r="I22" i="1"/>
  <c r="I23" i="1"/>
  <c r="I24" i="1"/>
  <c r="I25" i="1"/>
  <c r="I26" i="1"/>
  <c r="I27" i="1"/>
  <c r="I17" i="1"/>
  <c r="H18" i="1"/>
  <c r="H19" i="1"/>
  <c r="H20" i="1"/>
  <c r="H21" i="1"/>
  <c r="H22" i="1"/>
  <c r="H23" i="1"/>
  <c r="H24" i="1"/>
  <c r="H25" i="1"/>
  <c r="H26" i="1"/>
  <c r="H27" i="1"/>
  <c r="H17" i="1"/>
  <c r="D18" i="1"/>
  <c r="D19" i="1"/>
  <c r="D20" i="1"/>
  <c r="D21" i="1"/>
  <c r="D22" i="1"/>
  <c r="D23" i="1"/>
  <c r="D24" i="1"/>
  <c r="D25" i="1"/>
  <c r="D26" i="1"/>
  <c r="D27" i="1"/>
  <c r="D17" i="1"/>
  <c r="Y3" i="1" l="1"/>
  <c r="Y4" i="1"/>
  <c r="Y5" i="1"/>
  <c r="Y6" i="1"/>
  <c r="Y7" i="1"/>
  <c r="Y8" i="1"/>
  <c r="Y9" i="1"/>
  <c r="Y10" i="1"/>
  <c r="Y11" i="1"/>
  <c r="Y12" i="1"/>
  <c r="Y2" i="1"/>
  <c r="X3" i="1"/>
  <c r="X4" i="1"/>
  <c r="X5" i="1"/>
  <c r="X6" i="1"/>
  <c r="X7" i="1"/>
  <c r="X8" i="1"/>
  <c r="X9" i="1"/>
  <c r="X10" i="1"/>
  <c r="X11" i="1"/>
  <c r="X12" i="1"/>
  <c r="X2" i="1"/>
  <c r="AA3" i="1"/>
  <c r="AA4" i="1"/>
  <c r="AA5" i="1"/>
  <c r="AA6" i="1"/>
  <c r="AA7" i="1"/>
  <c r="AA8" i="1"/>
  <c r="AA9" i="1"/>
  <c r="AA10" i="1"/>
  <c r="AA11" i="1"/>
  <c r="AA12" i="1"/>
  <c r="AA2" i="1"/>
  <c r="Z3" i="1"/>
  <c r="Z4" i="1"/>
  <c r="Z5" i="1"/>
  <c r="Z6" i="1"/>
  <c r="Z7" i="1"/>
  <c r="Z8" i="1"/>
  <c r="Z9" i="1"/>
  <c r="Z10" i="1"/>
  <c r="Z11" i="1"/>
  <c r="Z12" i="1"/>
  <c r="Z2" i="1"/>
</calcChain>
</file>

<file path=xl/sharedStrings.xml><?xml version="1.0" encoding="utf-8"?>
<sst xmlns="http://schemas.openxmlformats.org/spreadsheetml/2006/main" count="152" uniqueCount="14">
  <si>
    <t>y区间</t>
  </si>
  <si>
    <t>≤</t>
  </si>
  <si>
    <t>y</t>
  </si>
  <si>
    <t>=</t>
  </si>
  <si>
    <t>±</t>
  </si>
  <si>
    <t>dn/dy</t>
  </si>
  <si>
    <t>dN/dy</t>
    <phoneticPr fontId="2" type="noConversion"/>
  </si>
  <si>
    <t>1/(Npart/2)</t>
    <phoneticPr fontId="2" type="noConversion"/>
  </si>
  <si>
    <t>https://link.aps.org/doi/10.1103/PhysRevC.83.014901</t>
    <phoneticPr fontId="2" type="noConversion"/>
  </si>
  <si>
    <t>dylow</t>
    <phoneticPr fontId="2" type="noConversion"/>
  </si>
  <si>
    <t>dyup</t>
    <phoneticPr fontId="2" type="noConversion"/>
  </si>
  <si>
    <t xml:space="preserve">rapidity </t>
    <phoneticPr fontId="2" type="noConversion"/>
  </si>
  <si>
    <t>net baryon dn/dy</t>
    <phoneticPr fontId="2" type="noConversion"/>
  </si>
  <si>
    <t xml:space="preserve">net proton dn/dy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</si>
</sst>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0"/>
      <color rgb="FF0F1115"/>
      <name val="Segoe UI"/>
      <family val="2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ink.aps.org/doi/10.1103/PhysRevC.83.01490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7"/>
  <sheetViews>
    <sheetView workbookViewId="0">
      <selection activeCell="Y2" sqref="Y2"/>
    </sheetView>
  </sheetViews>
  <sheetFormatPr defaultRowHeight="13.8" x14ac:dyDescent="0.25"/>
  <cols>
    <col min="13" max="19" width="0" hidden="1" customWidth="1"/>
  </cols>
  <sheetData>
    <row r="1" spans="1:27" x14ac:dyDescent="0.25">
      <c r="A1" s="2" t="s">
        <v>8</v>
      </c>
      <c r="X1" t="s">
        <v>9</v>
      </c>
      <c r="Y1" t="s">
        <v>10</v>
      </c>
      <c r="Z1" t="s">
        <v>6</v>
      </c>
      <c r="AA1" t="s">
        <v>7</v>
      </c>
    </row>
    <row r="2" spans="1:27" ht="15" x14ac:dyDescent="0.35">
      <c r="A2" s="1" t="s">
        <v>0</v>
      </c>
      <c r="B2">
        <v>-0.52</v>
      </c>
      <c r="C2" t="s">
        <v>1</v>
      </c>
      <c r="D2" t="s">
        <v>2</v>
      </c>
      <c r="E2" t="s">
        <v>1</v>
      </c>
      <c r="F2">
        <v>-0.32</v>
      </c>
      <c r="G2" t="s">
        <v>5</v>
      </c>
      <c r="H2" t="s">
        <v>3</v>
      </c>
      <c r="I2">
        <v>25.63</v>
      </c>
      <c r="J2" t="s">
        <v>4</v>
      </c>
      <c r="K2">
        <v>1.41</v>
      </c>
      <c r="M2">
        <v>-0.52</v>
      </c>
      <c r="N2" t="s">
        <v>1</v>
      </c>
      <c r="O2" t="s">
        <v>2</v>
      </c>
      <c r="P2" t="s">
        <v>1</v>
      </c>
      <c r="Q2">
        <v>-0.12</v>
      </c>
      <c r="R2" t="s">
        <v>5</v>
      </c>
      <c r="S2" t="s">
        <v>3</v>
      </c>
      <c r="T2">
        <v>1.61</v>
      </c>
      <c r="U2" t="s">
        <v>4</v>
      </c>
      <c r="V2">
        <v>0.13</v>
      </c>
      <c r="X2">
        <f>B2-2.91</f>
        <v>-3.43</v>
      </c>
      <c r="Y2">
        <f>F2-2.91</f>
        <v>-3.23</v>
      </c>
      <c r="Z2">
        <f t="shared" ref="Z2:Z12" si="0">I2-T2</f>
        <v>24.02</v>
      </c>
      <c r="AA2">
        <f t="shared" ref="AA2:AA12" si="1">2*Z2/352</f>
        <v>0.13647727272727272</v>
      </c>
    </row>
    <row r="3" spans="1:27" ht="15" x14ac:dyDescent="0.35">
      <c r="A3" s="1" t="s">
        <v>0</v>
      </c>
      <c r="B3">
        <v>-0.32</v>
      </c>
      <c r="C3" t="s">
        <v>1</v>
      </c>
      <c r="D3" t="s">
        <v>2</v>
      </c>
      <c r="E3" t="s">
        <v>1</v>
      </c>
      <c r="F3">
        <v>-0.12</v>
      </c>
      <c r="G3" t="s">
        <v>5</v>
      </c>
      <c r="H3" t="s">
        <v>3</v>
      </c>
      <c r="I3">
        <v>27.49</v>
      </c>
      <c r="J3" t="s">
        <v>4</v>
      </c>
      <c r="K3">
        <v>1.24</v>
      </c>
      <c r="T3">
        <v>1.61</v>
      </c>
      <c r="U3" t="s">
        <v>4</v>
      </c>
      <c r="V3">
        <v>0.13</v>
      </c>
      <c r="X3">
        <f t="shared" ref="X3:X12" si="2">B3-2.91</f>
        <v>-3.23</v>
      </c>
      <c r="Y3">
        <f t="shared" ref="Y3:Y12" si="3">F3-2.91</f>
        <v>-3.0300000000000002</v>
      </c>
      <c r="Z3">
        <f t="shared" si="0"/>
        <v>25.88</v>
      </c>
      <c r="AA3">
        <f t="shared" si="1"/>
        <v>0.14704545454545453</v>
      </c>
    </row>
    <row r="4" spans="1:27" ht="15" x14ac:dyDescent="0.35">
      <c r="A4" s="1" t="s">
        <v>0</v>
      </c>
      <c r="B4">
        <v>-0.12</v>
      </c>
      <c r="C4" t="s">
        <v>1</v>
      </c>
      <c r="D4" t="s">
        <v>2</v>
      </c>
      <c r="E4" t="s">
        <v>1</v>
      </c>
      <c r="F4">
        <v>0.08</v>
      </c>
      <c r="G4" t="s">
        <v>5</v>
      </c>
      <c r="H4" t="s">
        <v>3</v>
      </c>
      <c r="I4">
        <v>27.51</v>
      </c>
      <c r="J4" t="s">
        <v>4</v>
      </c>
      <c r="K4">
        <v>1.0900000000000001</v>
      </c>
      <c r="M4">
        <v>-0.12</v>
      </c>
      <c r="N4" t="s">
        <v>1</v>
      </c>
      <c r="O4" t="s">
        <v>2</v>
      </c>
      <c r="P4" t="s">
        <v>1</v>
      </c>
      <c r="Q4">
        <v>0.28000000000000003</v>
      </c>
      <c r="R4" t="s">
        <v>5</v>
      </c>
      <c r="S4" t="s">
        <v>3</v>
      </c>
      <c r="T4">
        <v>1.75</v>
      </c>
      <c r="U4" t="s">
        <v>4</v>
      </c>
      <c r="V4">
        <v>0.12</v>
      </c>
      <c r="X4">
        <f t="shared" si="2"/>
        <v>-3.0300000000000002</v>
      </c>
      <c r="Y4">
        <f t="shared" si="3"/>
        <v>-2.83</v>
      </c>
      <c r="Z4">
        <f t="shared" si="0"/>
        <v>25.76</v>
      </c>
      <c r="AA4">
        <f t="shared" si="1"/>
        <v>0.14636363636363636</v>
      </c>
    </row>
    <row r="5" spans="1:27" ht="15" x14ac:dyDescent="0.35">
      <c r="A5" s="1" t="s">
        <v>0</v>
      </c>
      <c r="B5">
        <v>0.08</v>
      </c>
      <c r="C5" t="s">
        <v>1</v>
      </c>
      <c r="D5" t="s">
        <v>2</v>
      </c>
      <c r="E5" t="s">
        <v>1</v>
      </c>
      <c r="F5">
        <v>0.28000000000000003</v>
      </c>
      <c r="G5" t="s">
        <v>5</v>
      </c>
      <c r="H5" t="s">
        <v>3</v>
      </c>
      <c r="I5">
        <v>28.07</v>
      </c>
      <c r="J5" t="s">
        <v>4</v>
      </c>
      <c r="K5">
        <v>1.01</v>
      </c>
      <c r="T5">
        <v>1.75</v>
      </c>
      <c r="U5" t="s">
        <v>4</v>
      </c>
      <c r="V5">
        <v>0.12</v>
      </c>
      <c r="X5">
        <f t="shared" si="2"/>
        <v>-2.83</v>
      </c>
      <c r="Y5">
        <f t="shared" si="3"/>
        <v>-2.63</v>
      </c>
      <c r="Z5">
        <f t="shared" si="0"/>
        <v>26.32</v>
      </c>
      <c r="AA5">
        <f t="shared" si="1"/>
        <v>0.14954545454545454</v>
      </c>
    </row>
    <row r="6" spans="1:27" ht="15" x14ac:dyDescent="0.35">
      <c r="A6" s="1" t="s">
        <v>0</v>
      </c>
      <c r="B6">
        <v>0.28000000000000003</v>
      </c>
      <c r="C6" t="s">
        <v>1</v>
      </c>
      <c r="D6" t="s">
        <v>2</v>
      </c>
      <c r="E6" t="s">
        <v>1</v>
      </c>
      <c r="F6">
        <v>0.48</v>
      </c>
      <c r="G6" t="s">
        <v>5</v>
      </c>
      <c r="H6" t="s">
        <v>3</v>
      </c>
      <c r="I6">
        <v>27.93</v>
      </c>
      <c r="J6" t="s">
        <v>4</v>
      </c>
      <c r="K6">
        <v>0.94</v>
      </c>
      <c r="M6">
        <v>0.28000000000000003</v>
      </c>
      <c r="N6" t="s">
        <v>1</v>
      </c>
      <c r="O6" t="s">
        <v>2</v>
      </c>
      <c r="P6" t="s">
        <v>1</v>
      </c>
      <c r="Q6">
        <v>0.68</v>
      </c>
      <c r="R6" t="s">
        <v>5</v>
      </c>
      <c r="S6" t="s">
        <v>3</v>
      </c>
      <c r="T6">
        <v>1.76</v>
      </c>
      <c r="U6" t="s">
        <v>4</v>
      </c>
      <c r="V6">
        <v>0.11</v>
      </c>
      <c r="X6">
        <f t="shared" si="2"/>
        <v>-2.63</v>
      </c>
      <c r="Y6">
        <f t="shared" si="3"/>
        <v>-2.4300000000000002</v>
      </c>
      <c r="Z6">
        <f t="shared" si="0"/>
        <v>26.169999999999998</v>
      </c>
      <c r="AA6">
        <f t="shared" si="1"/>
        <v>0.14869318181818181</v>
      </c>
    </row>
    <row r="7" spans="1:27" ht="15" x14ac:dyDescent="0.35">
      <c r="A7" s="1" t="s">
        <v>0</v>
      </c>
      <c r="B7">
        <v>0.48</v>
      </c>
      <c r="C7" t="s">
        <v>1</v>
      </c>
      <c r="D7" t="s">
        <v>2</v>
      </c>
      <c r="E7" t="s">
        <v>1</v>
      </c>
      <c r="F7">
        <v>0.68</v>
      </c>
      <c r="G7" t="s">
        <v>5</v>
      </c>
      <c r="H7" t="s">
        <v>3</v>
      </c>
      <c r="I7">
        <v>29.2</v>
      </c>
      <c r="J7" t="s">
        <v>4</v>
      </c>
      <c r="K7">
        <v>0.89</v>
      </c>
      <c r="T7">
        <v>1.76</v>
      </c>
      <c r="U7" t="s">
        <v>4</v>
      </c>
      <c r="V7">
        <v>0.11</v>
      </c>
      <c r="X7">
        <f t="shared" si="2"/>
        <v>-2.4300000000000002</v>
      </c>
      <c r="Y7">
        <f t="shared" si="3"/>
        <v>-2.23</v>
      </c>
      <c r="Z7">
        <f t="shared" si="0"/>
        <v>27.439999999999998</v>
      </c>
      <c r="AA7">
        <f t="shared" si="1"/>
        <v>0.15590909090909089</v>
      </c>
    </row>
    <row r="8" spans="1:27" ht="15" x14ac:dyDescent="0.35">
      <c r="A8" s="1" t="s">
        <v>0</v>
      </c>
      <c r="B8">
        <v>0.68</v>
      </c>
      <c r="C8" t="s">
        <v>1</v>
      </c>
      <c r="D8" t="s">
        <v>2</v>
      </c>
      <c r="E8" t="s">
        <v>1</v>
      </c>
      <c r="F8">
        <v>0.88</v>
      </c>
      <c r="G8" t="s">
        <v>5</v>
      </c>
      <c r="H8" t="s">
        <v>3</v>
      </c>
      <c r="I8">
        <v>31.3</v>
      </c>
      <c r="J8" t="s">
        <v>4</v>
      </c>
      <c r="K8">
        <v>0.88</v>
      </c>
      <c r="M8">
        <v>0.68</v>
      </c>
      <c r="N8" t="s">
        <v>1</v>
      </c>
      <c r="O8" t="s">
        <v>2</v>
      </c>
      <c r="P8" t="s">
        <v>1</v>
      </c>
      <c r="Q8">
        <v>1.08</v>
      </c>
      <c r="R8" t="s">
        <v>5</v>
      </c>
      <c r="S8" t="s">
        <v>3</v>
      </c>
      <c r="T8">
        <v>1.31</v>
      </c>
      <c r="U8" t="s">
        <v>4</v>
      </c>
      <c r="V8">
        <v>0.1</v>
      </c>
      <c r="X8">
        <f t="shared" si="2"/>
        <v>-2.23</v>
      </c>
      <c r="Y8">
        <f t="shared" si="3"/>
        <v>-2.0300000000000002</v>
      </c>
      <c r="Z8">
        <f t="shared" si="0"/>
        <v>29.990000000000002</v>
      </c>
      <c r="AA8">
        <f t="shared" si="1"/>
        <v>0.17039772727272728</v>
      </c>
    </row>
    <row r="9" spans="1:27" ht="15" x14ac:dyDescent="0.35">
      <c r="A9" s="1" t="s">
        <v>0</v>
      </c>
      <c r="B9">
        <v>0.88</v>
      </c>
      <c r="C9" t="s">
        <v>1</v>
      </c>
      <c r="D9" t="s">
        <v>2</v>
      </c>
      <c r="E9" t="s">
        <v>1</v>
      </c>
      <c r="F9">
        <v>1.08</v>
      </c>
      <c r="G9" t="s">
        <v>5</v>
      </c>
      <c r="H9" t="s">
        <v>3</v>
      </c>
      <c r="I9">
        <v>30.51</v>
      </c>
      <c r="J9" t="s">
        <v>4</v>
      </c>
      <c r="K9">
        <v>0.85</v>
      </c>
      <c r="T9">
        <v>1.31</v>
      </c>
      <c r="U9" t="s">
        <v>4</v>
      </c>
      <c r="V9">
        <v>0.1</v>
      </c>
      <c r="X9">
        <f t="shared" si="2"/>
        <v>-2.0300000000000002</v>
      </c>
      <c r="Y9">
        <f t="shared" si="3"/>
        <v>-1.83</v>
      </c>
      <c r="Z9">
        <f t="shared" si="0"/>
        <v>29.200000000000003</v>
      </c>
      <c r="AA9">
        <f t="shared" si="1"/>
        <v>0.16590909090909092</v>
      </c>
    </row>
    <row r="10" spans="1:27" ht="15" x14ac:dyDescent="0.35">
      <c r="A10" s="1" t="s">
        <v>0</v>
      </c>
      <c r="B10">
        <v>1.08</v>
      </c>
      <c r="C10" t="s">
        <v>1</v>
      </c>
      <c r="D10" t="s">
        <v>2</v>
      </c>
      <c r="E10" t="s">
        <v>1</v>
      </c>
      <c r="F10">
        <v>1.28</v>
      </c>
      <c r="G10" t="s">
        <v>5</v>
      </c>
      <c r="H10" t="s">
        <v>3</v>
      </c>
      <c r="I10">
        <v>32.35</v>
      </c>
      <c r="J10" t="s">
        <v>4</v>
      </c>
      <c r="K10">
        <v>1.05</v>
      </c>
      <c r="M10">
        <v>1.08</v>
      </c>
      <c r="N10" t="s">
        <v>1</v>
      </c>
      <c r="O10" t="s">
        <v>2</v>
      </c>
      <c r="P10" t="s">
        <v>1</v>
      </c>
      <c r="Q10">
        <v>1.48</v>
      </c>
      <c r="R10" t="s">
        <v>5</v>
      </c>
      <c r="S10" t="s">
        <v>3</v>
      </c>
      <c r="T10">
        <v>0.6</v>
      </c>
      <c r="U10" t="s">
        <v>4</v>
      </c>
      <c r="V10">
        <v>0.1</v>
      </c>
      <c r="X10">
        <f t="shared" si="2"/>
        <v>-1.83</v>
      </c>
      <c r="Y10">
        <f t="shared" si="3"/>
        <v>-1.6300000000000001</v>
      </c>
      <c r="Z10">
        <f t="shared" si="0"/>
        <v>31.75</v>
      </c>
      <c r="AA10">
        <f t="shared" si="1"/>
        <v>0.18039772727272727</v>
      </c>
    </row>
    <row r="11" spans="1:27" ht="15" x14ac:dyDescent="0.35">
      <c r="A11" s="1" t="s">
        <v>0</v>
      </c>
      <c r="B11">
        <v>1.28</v>
      </c>
      <c r="C11" t="s">
        <v>1</v>
      </c>
      <c r="D11" t="s">
        <v>2</v>
      </c>
      <c r="E11" t="s">
        <v>1</v>
      </c>
      <c r="F11">
        <v>1.48</v>
      </c>
      <c r="G11" t="s">
        <v>5</v>
      </c>
      <c r="H11" t="s">
        <v>3</v>
      </c>
      <c r="I11">
        <v>38.840000000000003</v>
      </c>
      <c r="J11" t="s">
        <v>4</v>
      </c>
      <c r="K11">
        <v>3.43</v>
      </c>
      <c r="T11">
        <v>0.6</v>
      </c>
      <c r="U11" t="s">
        <v>4</v>
      </c>
      <c r="V11">
        <v>0.1</v>
      </c>
      <c r="X11">
        <f t="shared" si="2"/>
        <v>-1.6300000000000001</v>
      </c>
      <c r="Y11">
        <f t="shared" si="3"/>
        <v>-1.4300000000000002</v>
      </c>
      <c r="Z11">
        <f t="shared" si="0"/>
        <v>38.24</v>
      </c>
      <c r="AA11">
        <f t="shared" si="1"/>
        <v>0.21727272727272728</v>
      </c>
    </row>
    <row r="12" spans="1:27" ht="15" x14ac:dyDescent="0.35">
      <c r="A12" s="1" t="s">
        <v>0</v>
      </c>
      <c r="B12">
        <v>1.48</v>
      </c>
      <c r="C12" t="s">
        <v>1</v>
      </c>
      <c r="D12" t="s">
        <v>2</v>
      </c>
      <c r="E12" t="s">
        <v>1</v>
      </c>
      <c r="F12">
        <v>1.68</v>
      </c>
      <c r="G12" t="s">
        <v>5</v>
      </c>
      <c r="H12" t="s">
        <v>3</v>
      </c>
      <c r="I12">
        <v>39.35</v>
      </c>
      <c r="J12" t="s">
        <v>4</v>
      </c>
      <c r="K12">
        <v>2</v>
      </c>
      <c r="T12">
        <v>0</v>
      </c>
      <c r="V12">
        <v>0</v>
      </c>
      <c r="X12">
        <f t="shared" si="2"/>
        <v>-1.4300000000000002</v>
      </c>
      <c r="Y12">
        <f t="shared" si="3"/>
        <v>-1.2300000000000002</v>
      </c>
      <c r="Z12">
        <f t="shared" si="0"/>
        <v>39.35</v>
      </c>
      <c r="AA12">
        <f t="shared" si="1"/>
        <v>0.22357954545454548</v>
      </c>
    </row>
    <row r="14" spans="1:27" ht="15" x14ac:dyDescent="0.35">
      <c r="A14" s="1"/>
    </row>
    <row r="15" spans="1:27" ht="15" x14ac:dyDescent="0.35">
      <c r="A15" s="1"/>
    </row>
    <row r="16" spans="1:27" ht="15" x14ac:dyDescent="0.35">
      <c r="A16" s="1"/>
    </row>
    <row r="17" spans="1:9" ht="15" x14ac:dyDescent="0.35">
      <c r="A17" s="1"/>
      <c r="D17">
        <f>(E17+F17)/2</f>
        <v>-0.42000000000000004</v>
      </c>
      <c r="E17">
        <v>-0.52</v>
      </c>
      <c r="F17">
        <v>-0.32</v>
      </c>
      <c r="G17">
        <v>24.02</v>
      </c>
      <c r="H17">
        <f t="shared" ref="H17:H27" si="4">SQRT(K2*K2+V2*V2)</f>
        <v>1.4159802258506295</v>
      </c>
      <c r="I17">
        <f>G17*0.07</f>
        <v>1.6814000000000002</v>
      </c>
    </row>
    <row r="18" spans="1:9" ht="15" x14ac:dyDescent="0.35">
      <c r="A18" s="1"/>
      <c r="D18">
        <f t="shared" ref="D18:D27" si="5">(E18+F18)/2</f>
        <v>-0.22</v>
      </c>
      <c r="E18">
        <v>-0.32</v>
      </c>
      <c r="F18">
        <v>-0.12</v>
      </c>
      <c r="G18">
        <v>25.88</v>
      </c>
      <c r="H18">
        <f t="shared" si="4"/>
        <v>1.2467958934805647</v>
      </c>
      <c r="I18">
        <f t="shared" ref="I18:I27" si="6">G18*0.07</f>
        <v>1.8116000000000001</v>
      </c>
    </row>
    <row r="19" spans="1:9" x14ac:dyDescent="0.25">
      <c r="D19">
        <f t="shared" si="5"/>
        <v>-1.9999999999999997E-2</v>
      </c>
      <c r="E19">
        <v>-0.12</v>
      </c>
      <c r="F19">
        <v>0.08</v>
      </c>
      <c r="G19">
        <v>25.76</v>
      </c>
      <c r="H19">
        <f t="shared" si="4"/>
        <v>1.0965856099730655</v>
      </c>
      <c r="I19">
        <f t="shared" si="6"/>
        <v>1.8032000000000004</v>
      </c>
    </row>
    <row r="20" spans="1:9" x14ac:dyDescent="0.25">
      <c r="D20">
        <f t="shared" si="5"/>
        <v>0.18000000000000002</v>
      </c>
      <c r="E20">
        <v>0.08</v>
      </c>
      <c r="F20">
        <v>0.28000000000000003</v>
      </c>
      <c r="G20">
        <v>26.32</v>
      </c>
      <c r="H20">
        <f t="shared" si="4"/>
        <v>1.0171037311896953</v>
      </c>
      <c r="I20">
        <f t="shared" si="6"/>
        <v>1.8424000000000003</v>
      </c>
    </row>
    <row r="21" spans="1:9" x14ac:dyDescent="0.25">
      <c r="D21">
        <f t="shared" si="5"/>
        <v>0.38</v>
      </c>
      <c r="E21">
        <v>0.28000000000000003</v>
      </c>
      <c r="F21">
        <v>0.48</v>
      </c>
      <c r="G21">
        <v>26.169999999999998</v>
      </c>
      <c r="H21">
        <f t="shared" si="4"/>
        <v>0.94641428560646734</v>
      </c>
      <c r="I21">
        <f t="shared" si="6"/>
        <v>1.8319000000000001</v>
      </c>
    </row>
    <row r="22" spans="1:9" x14ac:dyDescent="0.25">
      <c r="D22">
        <f t="shared" si="5"/>
        <v>0.58000000000000007</v>
      </c>
      <c r="E22">
        <v>0.48</v>
      </c>
      <c r="F22">
        <v>0.68</v>
      </c>
      <c r="G22">
        <v>27.439999999999998</v>
      </c>
      <c r="H22">
        <f t="shared" si="4"/>
        <v>0.89677198885781439</v>
      </c>
      <c r="I22">
        <f t="shared" si="6"/>
        <v>1.9208000000000001</v>
      </c>
    </row>
    <row r="23" spans="1:9" x14ac:dyDescent="0.25">
      <c r="D23">
        <f t="shared" si="5"/>
        <v>0.78</v>
      </c>
      <c r="E23">
        <v>0.68</v>
      </c>
      <c r="F23">
        <v>0.88</v>
      </c>
      <c r="G23">
        <v>29.990000000000002</v>
      </c>
      <c r="H23">
        <f t="shared" si="4"/>
        <v>0.88566359301938113</v>
      </c>
      <c r="I23">
        <f t="shared" si="6"/>
        <v>2.0993000000000004</v>
      </c>
    </row>
    <row r="24" spans="1:9" x14ac:dyDescent="0.25">
      <c r="D24">
        <f t="shared" si="5"/>
        <v>0.98</v>
      </c>
      <c r="E24">
        <v>0.88</v>
      </c>
      <c r="F24">
        <v>1.08</v>
      </c>
      <c r="G24">
        <v>29.200000000000003</v>
      </c>
      <c r="H24">
        <f t="shared" si="4"/>
        <v>0.85586213843118442</v>
      </c>
      <c r="I24">
        <f t="shared" si="6"/>
        <v>2.0440000000000005</v>
      </c>
    </row>
    <row r="25" spans="1:9" x14ac:dyDescent="0.25">
      <c r="D25">
        <f t="shared" si="5"/>
        <v>1.1800000000000002</v>
      </c>
      <c r="E25">
        <v>1.08</v>
      </c>
      <c r="F25">
        <v>1.28</v>
      </c>
      <c r="G25">
        <v>31.75</v>
      </c>
      <c r="H25">
        <f t="shared" si="4"/>
        <v>1.0547511554864493</v>
      </c>
      <c r="I25">
        <f t="shared" si="6"/>
        <v>2.2225000000000001</v>
      </c>
    </row>
    <row r="26" spans="1:9" x14ac:dyDescent="0.25">
      <c r="D26">
        <f t="shared" si="5"/>
        <v>1.38</v>
      </c>
      <c r="E26">
        <v>1.28</v>
      </c>
      <c r="F26">
        <v>1.48</v>
      </c>
      <c r="G26">
        <v>38.24</v>
      </c>
      <c r="H26">
        <f t="shared" si="4"/>
        <v>3.4314574163174458</v>
      </c>
      <c r="I26">
        <f t="shared" si="6"/>
        <v>2.6768000000000005</v>
      </c>
    </row>
    <row r="27" spans="1:9" x14ac:dyDescent="0.25">
      <c r="D27">
        <f t="shared" si="5"/>
        <v>1.58</v>
      </c>
      <c r="E27">
        <v>1.48</v>
      </c>
      <c r="F27">
        <v>1.68</v>
      </c>
      <c r="G27">
        <v>39.35</v>
      </c>
      <c r="H27">
        <f t="shared" si="4"/>
        <v>2</v>
      </c>
      <c r="I27">
        <f t="shared" si="6"/>
        <v>2.7545000000000002</v>
      </c>
    </row>
  </sheetData>
  <phoneticPr fontId="2" type="noConversion"/>
  <hyperlinks>
    <hyperlink ref="A1" r:id="rId1" xr:uid="{C0485903-CAD2-4AFC-BE24-82C0599D573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22CB-9026-483E-9FA1-CFE3429FB421}">
  <dimension ref="A1:X17"/>
  <sheetViews>
    <sheetView tabSelected="1" workbookViewId="0">
      <selection activeCell="Y24" sqref="Y24"/>
    </sheetView>
  </sheetViews>
  <sheetFormatPr defaultRowHeight="13.8" x14ac:dyDescent="0.25"/>
  <sheetData>
    <row r="1" spans="1:24" ht="15" x14ac:dyDescent="0.35">
      <c r="A1">
        <v>-3.52</v>
      </c>
      <c r="B1">
        <v>-3.62</v>
      </c>
      <c r="C1">
        <v>-3.42</v>
      </c>
      <c r="D1">
        <v>0.12109499999999999</v>
      </c>
      <c r="E1">
        <v>5.8891199999999998E-2</v>
      </c>
      <c r="F1">
        <v>0</v>
      </c>
      <c r="I1">
        <f t="shared" ref="I1:I16" si="0">A1+2.91</f>
        <v>-0.60999999999999988</v>
      </c>
      <c r="J1">
        <f t="shared" ref="J1:J16" si="1">B1+2.91</f>
        <v>-0.71</v>
      </c>
      <c r="K1">
        <f t="shared" ref="K1:K16" si="2">C1+2.91</f>
        <v>-0.50999999999999979</v>
      </c>
      <c r="L1">
        <v>31.160599999999999</v>
      </c>
      <c r="M1">
        <v>5.2676699999999999</v>
      </c>
      <c r="N1">
        <v>0</v>
      </c>
      <c r="Q1" s="4" t="s">
        <v>11</v>
      </c>
      <c r="R1" s="4"/>
      <c r="S1" s="3" t="s">
        <v>13</v>
      </c>
      <c r="T1" s="3"/>
      <c r="U1" s="3"/>
      <c r="V1" s="3" t="s">
        <v>12</v>
      </c>
      <c r="W1" s="3"/>
      <c r="X1" s="3"/>
    </row>
    <row r="2" spans="1:24" ht="15" x14ac:dyDescent="0.35">
      <c r="A2">
        <v>-3.32</v>
      </c>
      <c r="B2">
        <v>-3.42</v>
      </c>
      <c r="C2">
        <v>-3.22</v>
      </c>
      <c r="D2">
        <v>0.131217</v>
      </c>
      <c r="E2">
        <v>4.7849099999999999E-2</v>
      </c>
      <c r="F2">
        <v>0</v>
      </c>
      <c r="I2">
        <f t="shared" si="0"/>
        <v>-0.4099999999999997</v>
      </c>
      <c r="J2">
        <f t="shared" si="1"/>
        <v>-0.50999999999999979</v>
      </c>
      <c r="K2">
        <f t="shared" si="2"/>
        <v>-0.31000000000000005</v>
      </c>
      <c r="L2">
        <v>28.376899999999999</v>
      </c>
      <c r="M2">
        <v>4.3683100000000001</v>
      </c>
      <c r="N2">
        <v>0</v>
      </c>
      <c r="Q2" s="1">
        <v>2.2000000000000002</v>
      </c>
      <c r="R2">
        <v>2.4</v>
      </c>
      <c r="S2">
        <v>31.1</v>
      </c>
      <c r="T2" t="s">
        <v>4</v>
      </c>
      <c r="U2">
        <v>5.3</v>
      </c>
      <c r="V2">
        <v>76.900000000000006</v>
      </c>
      <c r="W2" t="s">
        <v>4</v>
      </c>
      <c r="X2">
        <v>11</v>
      </c>
    </row>
    <row r="3" spans="1:24" ht="15" x14ac:dyDescent="0.35">
      <c r="A3">
        <v>-3.12</v>
      </c>
      <c r="B3">
        <v>-3.22</v>
      </c>
      <c r="C3">
        <v>-3.02</v>
      </c>
      <c r="D3">
        <v>0.160663</v>
      </c>
      <c r="E3">
        <v>4.4168399999999997E-2</v>
      </c>
      <c r="F3">
        <v>0</v>
      </c>
      <c r="I3">
        <f t="shared" si="0"/>
        <v>-0.20999999999999996</v>
      </c>
      <c r="J3">
        <f t="shared" si="1"/>
        <v>-0.31000000000000005</v>
      </c>
      <c r="K3">
        <f t="shared" si="2"/>
        <v>-0.10999999999999988</v>
      </c>
      <c r="L3">
        <v>27.7516</v>
      </c>
      <c r="M3">
        <v>3.9400400000000002</v>
      </c>
      <c r="N3">
        <v>0</v>
      </c>
      <c r="Q3" s="1">
        <v>2.4</v>
      </c>
      <c r="R3">
        <v>2.6</v>
      </c>
      <c r="S3">
        <v>28.3</v>
      </c>
      <c r="T3" t="s">
        <v>4</v>
      </c>
      <c r="U3">
        <v>4.4000000000000004</v>
      </c>
      <c r="V3">
        <v>71</v>
      </c>
      <c r="W3" t="s">
        <v>4</v>
      </c>
      <c r="X3">
        <v>9</v>
      </c>
    </row>
    <row r="4" spans="1:24" ht="15" x14ac:dyDescent="0.35">
      <c r="A4">
        <v>-2.92</v>
      </c>
      <c r="B4">
        <v>-3.02</v>
      </c>
      <c r="C4">
        <v>-2.82</v>
      </c>
      <c r="D4">
        <v>0.177594</v>
      </c>
      <c r="E4">
        <v>4.0487700000000001E-2</v>
      </c>
      <c r="F4">
        <v>0</v>
      </c>
      <c r="I4">
        <f t="shared" si="0"/>
        <v>-9.9999999999997868E-3</v>
      </c>
      <c r="J4">
        <f t="shared" si="1"/>
        <v>-0.10999999999999988</v>
      </c>
      <c r="K4">
        <f t="shared" si="2"/>
        <v>9.0000000000000302E-2</v>
      </c>
      <c r="L4">
        <v>26.6296</v>
      </c>
      <c r="M4">
        <v>3.5974300000000001</v>
      </c>
      <c r="N4">
        <v>0</v>
      </c>
      <c r="Q4" s="1">
        <v>2.6</v>
      </c>
      <c r="R4">
        <v>2.8</v>
      </c>
      <c r="S4">
        <v>27.8</v>
      </c>
      <c r="T4" t="s">
        <v>4</v>
      </c>
      <c r="U4">
        <v>4</v>
      </c>
      <c r="V4">
        <v>69.900000000000006</v>
      </c>
      <c r="W4" t="s">
        <v>4</v>
      </c>
      <c r="X4">
        <v>8.3000000000000007</v>
      </c>
    </row>
    <row r="5" spans="1:24" ht="15" x14ac:dyDescent="0.35">
      <c r="A5">
        <v>-2.72</v>
      </c>
      <c r="B5">
        <v>-2.82</v>
      </c>
      <c r="C5">
        <v>-2.62</v>
      </c>
      <c r="D5">
        <v>0.22728300000000001</v>
      </c>
      <c r="E5">
        <v>3.5886800000000003E-2</v>
      </c>
      <c r="F5">
        <v>0</v>
      </c>
      <c r="I5">
        <f t="shared" si="0"/>
        <v>0.18999999999999995</v>
      </c>
      <c r="J5">
        <f t="shared" si="1"/>
        <v>9.0000000000000302E-2</v>
      </c>
      <c r="K5">
        <f t="shared" si="2"/>
        <v>0.29000000000000004</v>
      </c>
      <c r="L5">
        <v>28.7623</v>
      </c>
      <c r="M5">
        <v>3.2119900000000001</v>
      </c>
      <c r="N5">
        <v>0</v>
      </c>
      <c r="Q5" s="1">
        <v>2.8</v>
      </c>
      <c r="R5">
        <v>3</v>
      </c>
      <c r="S5">
        <v>26.6</v>
      </c>
      <c r="T5" t="s">
        <v>4</v>
      </c>
      <c r="U5">
        <v>3.7</v>
      </c>
      <c r="V5">
        <v>67.599999999999994</v>
      </c>
      <c r="W5" t="s">
        <v>4</v>
      </c>
      <c r="X5">
        <v>7.5</v>
      </c>
    </row>
    <row r="6" spans="1:24" ht="15" x14ac:dyDescent="0.35">
      <c r="A6">
        <v>-2.52</v>
      </c>
      <c r="B6">
        <v>-2.62</v>
      </c>
      <c r="C6">
        <v>-2.42</v>
      </c>
      <c r="D6">
        <v>0.27126800000000001</v>
      </c>
      <c r="E6">
        <v>3.1285899999999998E-2</v>
      </c>
      <c r="F6">
        <v>0</v>
      </c>
      <c r="I6">
        <f t="shared" si="0"/>
        <v>0.39000000000000012</v>
      </c>
      <c r="J6">
        <f t="shared" si="1"/>
        <v>0.29000000000000004</v>
      </c>
      <c r="K6">
        <f t="shared" si="2"/>
        <v>0.49000000000000021</v>
      </c>
      <c r="L6">
        <v>30.886500000000002</v>
      </c>
      <c r="M6">
        <v>2.7837299999999998</v>
      </c>
      <c r="N6">
        <v>0</v>
      </c>
      <c r="Q6" s="1">
        <v>3</v>
      </c>
      <c r="R6">
        <v>3.2</v>
      </c>
      <c r="S6">
        <v>28.8</v>
      </c>
      <c r="T6" t="s">
        <v>4</v>
      </c>
      <c r="U6">
        <v>3.3</v>
      </c>
      <c r="V6">
        <v>72.099999999999994</v>
      </c>
      <c r="W6" t="s">
        <v>4</v>
      </c>
      <c r="X6">
        <v>6.7</v>
      </c>
    </row>
    <row r="7" spans="1:24" ht="15" x14ac:dyDescent="0.35">
      <c r="A7">
        <v>-2.3199999999999998</v>
      </c>
      <c r="B7">
        <v>-2.42</v>
      </c>
      <c r="C7">
        <v>-2.2200000000000002</v>
      </c>
      <c r="D7">
        <v>0.30255300000000002</v>
      </c>
      <c r="E7">
        <v>2.3924500000000001E-2</v>
      </c>
      <c r="F7">
        <v>0</v>
      </c>
      <c r="I7">
        <f t="shared" si="0"/>
        <v>0.5900000000000003</v>
      </c>
      <c r="J7">
        <f t="shared" si="1"/>
        <v>0.49000000000000021</v>
      </c>
      <c r="K7">
        <f t="shared" si="2"/>
        <v>0.69</v>
      </c>
      <c r="L7">
        <v>32</v>
      </c>
      <c r="M7">
        <v>2.14133</v>
      </c>
      <c r="N7">
        <v>0</v>
      </c>
      <c r="Q7" s="1">
        <v>3.2</v>
      </c>
      <c r="R7">
        <v>3.4</v>
      </c>
      <c r="S7">
        <v>30.8</v>
      </c>
      <c r="T7" t="s">
        <v>4</v>
      </c>
      <c r="U7">
        <v>2.8</v>
      </c>
      <c r="V7">
        <v>76.3</v>
      </c>
      <c r="W7" t="s">
        <v>4</v>
      </c>
      <c r="X7">
        <v>5.8</v>
      </c>
    </row>
    <row r="8" spans="1:24" ht="15" x14ac:dyDescent="0.35">
      <c r="A8">
        <v>-2.12</v>
      </c>
      <c r="B8">
        <v>-2.2200000000000002</v>
      </c>
      <c r="C8">
        <v>-2.02</v>
      </c>
      <c r="D8">
        <v>0.34662999999999999</v>
      </c>
      <c r="E8">
        <v>2.1163999999999999E-2</v>
      </c>
      <c r="F8">
        <v>0</v>
      </c>
      <c r="I8">
        <f t="shared" si="0"/>
        <v>0.79</v>
      </c>
      <c r="J8">
        <f t="shared" si="1"/>
        <v>0.69</v>
      </c>
      <c r="K8">
        <f t="shared" si="2"/>
        <v>0.89000000000000012</v>
      </c>
      <c r="L8">
        <v>34.646700000000003</v>
      </c>
      <c r="M8">
        <v>1.8843700000000001</v>
      </c>
      <c r="N8">
        <v>0</v>
      </c>
      <c r="Q8" s="1">
        <v>3.4</v>
      </c>
      <c r="R8">
        <v>3.6</v>
      </c>
      <c r="S8">
        <v>32</v>
      </c>
      <c r="T8" t="s">
        <v>4</v>
      </c>
      <c r="U8">
        <v>2.2000000000000002</v>
      </c>
      <c r="V8">
        <v>78.8</v>
      </c>
      <c r="W8" t="s">
        <v>4</v>
      </c>
      <c r="X8">
        <v>4.5</v>
      </c>
    </row>
    <row r="9" spans="1:24" ht="15" x14ac:dyDescent="0.35">
      <c r="A9">
        <v>-1.92</v>
      </c>
      <c r="B9">
        <v>-2.02</v>
      </c>
      <c r="C9">
        <v>-1.82</v>
      </c>
      <c r="D9">
        <v>0.36033999999999999</v>
      </c>
      <c r="E9">
        <v>1.74833E-2</v>
      </c>
      <c r="F9">
        <v>0</v>
      </c>
      <c r="I9">
        <f t="shared" si="0"/>
        <v>0.99000000000000021</v>
      </c>
      <c r="J9">
        <f t="shared" si="1"/>
        <v>0.89000000000000012</v>
      </c>
      <c r="K9">
        <f t="shared" si="2"/>
        <v>1.0900000000000001</v>
      </c>
      <c r="L9">
        <v>34.9893</v>
      </c>
      <c r="M9">
        <v>1.54176</v>
      </c>
      <c r="N9">
        <v>0</v>
      </c>
      <c r="Q9" s="1">
        <v>3.6</v>
      </c>
      <c r="R9">
        <v>3.8</v>
      </c>
      <c r="S9">
        <v>34.6</v>
      </c>
      <c r="T9" t="s">
        <v>4</v>
      </c>
      <c r="U9">
        <v>1.9</v>
      </c>
      <c r="V9">
        <v>84.1</v>
      </c>
      <c r="W9" t="s">
        <v>4</v>
      </c>
      <c r="X9">
        <v>4</v>
      </c>
    </row>
    <row r="10" spans="1:24" ht="15" x14ac:dyDescent="0.35">
      <c r="A10">
        <v>-1.72</v>
      </c>
      <c r="B10">
        <v>-1.82</v>
      </c>
      <c r="C10">
        <v>-1.62</v>
      </c>
      <c r="D10">
        <v>0.37892799999999999</v>
      </c>
      <c r="E10">
        <v>1.84035E-2</v>
      </c>
      <c r="F10">
        <v>0</v>
      </c>
      <c r="I10">
        <f t="shared" si="0"/>
        <v>1.1900000000000002</v>
      </c>
      <c r="J10">
        <f t="shared" si="1"/>
        <v>1.0900000000000001</v>
      </c>
      <c r="K10">
        <f t="shared" si="2"/>
        <v>1.29</v>
      </c>
      <c r="L10">
        <v>36</v>
      </c>
      <c r="M10">
        <v>1.54176</v>
      </c>
      <c r="N10">
        <v>0</v>
      </c>
      <c r="Q10" s="1">
        <v>3.8</v>
      </c>
      <c r="R10">
        <v>4</v>
      </c>
      <c r="S10">
        <v>34.9</v>
      </c>
      <c r="T10" t="s">
        <v>4</v>
      </c>
      <c r="U10">
        <v>1.6</v>
      </c>
      <c r="V10">
        <v>84.2</v>
      </c>
      <c r="W10" t="s">
        <v>4</v>
      </c>
      <c r="X10">
        <v>3.3</v>
      </c>
    </row>
    <row r="11" spans="1:24" ht="15" x14ac:dyDescent="0.35">
      <c r="A11">
        <v>-1.52</v>
      </c>
      <c r="B11">
        <v>-1.62</v>
      </c>
      <c r="C11">
        <v>-1.42</v>
      </c>
      <c r="D11">
        <v>0.37616699999999997</v>
      </c>
      <c r="E11">
        <v>2.2084199999999998E-2</v>
      </c>
      <c r="F11">
        <v>0</v>
      </c>
      <c r="I11">
        <f t="shared" si="0"/>
        <v>1.3900000000000001</v>
      </c>
      <c r="J11">
        <f t="shared" si="1"/>
        <v>1.29</v>
      </c>
      <c r="K11">
        <f t="shared" si="2"/>
        <v>1.4900000000000002</v>
      </c>
      <c r="L11">
        <v>35.5032</v>
      </c>
      <c r="M11">
        <v>1.84154</v>
      </c>
      <c r="N11">
        <v>0</v>
      </c>
      <c r="Q11" s="1">
        <v>4</v>
      </c>
      <c r="R11">
        <v>4.2</v>
      </c>
      <c r="S11">
        <v>35.9</v>
      </c>
      <c r="T11" t="s">
        <v>4</v>
      </c>
      <c r="U11">
        <v>1.6</v>
      </c>
      <c r="V11">
        <v>85.6</v>
      </c>
      <c r="W11" t="s">
        <v>4</v>
      </c>
      <c r="X11">
        <v>3.4</v>
      </c>
    </row>
    <row r="12" spans="1:24" ht="15" x14ac:dyDescent="0.35">
      <c r="A12">
        <v>-1.32</v>
      </c>
      <c r="B12">
        <v>-1.42</v>
      </c>
      <c r="C12">
        <v>-1.22</v>
      </c>
      <c r="D12">
        <v>0.350495</v>
      </c>
      <c r="E12">
        <v>1.74833E-2</v>
      </c>
      <c r="F12">
        <v>0</v>
      </c>
      <c r="I12">
        <f t="shared" si="0"/>
        <v>1.59</v>
      </c>
      <c r="J12">
        <f t="shared" si="1"/>
        <v>1.4900000000000002</v>
      </c>
      <c r="K12">
        <f t="shared" si="2"/>
        <v>1.6900000000000002</v>
      </c>
      <c r="L12">
        <v>33.113500000000002</v>
      </c>
      <c r="M12">
        <v>1.54176</v>
      </c>
      <c r="N12">
        <v>0</v>
      </c>
      <c r="Q12" s="1">
        <v>4.2</v>
      </c>
      <c r="R12">
        <v>4.4000000000000004</v>
      </c>
      <c r="S12">
        <v>35.5</v>
      </c>
      <c r="T12" t="s">
        <v>4</v>
      </c>
      <c r="U12">
        <v>1.9</v>
      </c>
      <c r="V12">
        <v>83.3</v>
      </c>
      <c r="W12" t="s">
        <v>4</v>
      </c>
      <c r="X12">
        <v>4</v>
      </c>
    </row>
    <row r="13" spans="1:24" ht="15" x14ac:dyDescent="0.35">
      <c r="A13">
        <v>-1.1200000000000001</v>
      </c>
      <c r="B13">
        <v>-1.22</v>
      </c>
      <c r="C13">
        <v>-1.02</v>
      </c>
      <c r="D13">
        <v>0.30071300000000001</v>
      </c>
      <c r="E13">
        <v>1.38026E-2</v>
      </c>
      <c r="F13">
        <v>0</v>
      </c>
      <c r="I13">
        <f t="shared" si="0"/>
        <v>1.79</v>
      </c>
      <c r="J13">
        <f t="shared" si="1"/>
        <v>1.6900000000000002</v>
      </c>
      <c r="K13">
        <f t="shared" si="2"/>
        <v>1.8900000000000001</v>
      </c>
      <c r="L13">
        <v>28.8565</v>
      </c>
      <c r="M13">
        <v>1.1991400000000001</v>
      </c>
      <c r="N13">
        <v>0</v>
      </c>
      <c r="Q13" s="1">
        <v>4.4000000000000004</v>
      </c>
      <c r="R13">
        <v>4.5999999999999996</v>
      </c>
      <c r="S13">
        <v>33.1</v>
      </c>
      <c r="T13" t="s">
        <v>4</v>
      </c>
      <c r="U13">
        <v>1.6</v>
      </c>
      <c r="V13">
        <v>76.900000000000006</v>
      </c>
      <c r="W13" t="s">
        <v>4</v>
      </c>
      <c r="X13">
        <v>3.3</v>
      </c>
    </row>
    <row r="14" spans="1:24" ht="15" x14ac:dyDescent="0.35">
      <c r="A14">
        <v>-0.92</v>
      </c>
      <c r="B14">
        <v>-1.02</v>
      </c>
      <c r="C14">
        <v>-0.82</v>
      </c>
      <c r="D14">
        <v>0.25323200000000001</v>
      </c>
      <c r="E14">
        <v>1.6563100000000001E-2</v>
      </c>
      <c r="F14">
        <v>0</v>
      </c>
      <c r="I14">
        <f t="shared" si="0"/>
        <v>1.9900000000000002</v>
      </c>
      <c r="J14">
        <f t="shared" si="1"/>
        <v>1.8900000000000001</v>
      </c>
      <c r="K14">
        <f t="shared" si="2"/>
        <v>2.0900000000000003</v>
      </c>
      <c r="L14">
        <v>24.907900000000001</v>
      </c>
      <c r="M14">
        <v>1.4560999999999999</v>
      </c>
      <c r="N14">
        <v>0</v>
      </c>
      <c r="Q14" s="1">
        <v>4.5999999999999996</v>
      </c>
      <c r="R14">
        <v>4.8</v>
      </c>
      <c r="S14">
        <v>28.8</v>
      </c>
      <c r="T14" t="s">
        <v>4</v>
      </c>
      <c r="U14">
        <v>1.3</v>
      </c>
      <c r="V14">
        <v>66.2</v>
      </c>
      <c r="W14" t="s">
        <v>4</v>
      </c>
      <c r="X14">
        <v>2.6</v>
      </c>
    </row>
    <row r="15" spans="1:24" ht="15" x14ac:dyDescent="0.35">
      <c r="A15">
        <v>-0.72</v>
      </c>
      <c r="B15">
        <v>-0.82</v>
      </c>
      <c r="C15">
        <v>-0.62</v>
      </c>
      <c r="D15">
        <v>0.18900400000000001</v>
      </c>
      <c r="E15">
        <v>1.38026E-2</v>
      </c>
      <c r="F15">
        <v>0</v>
      </c>
      <c r="I15">
        <f t="shared" si="0"/>
        <v>2.1900000000000004</v>
      </c>
      <c r="J15">
        <f t="shared" si="1"/>
        <v>2.0900000000000003</v>
      </c>
      <c r="K15">
        <f t="shared" si="2"/>
        <v>2.29</v>
      </c>
      <c r="L15">
        <v>19.357600000000001</v>
      </c>
      <c r="M15">
        <v>1.1520300000000001</v>
      </c>
      <c r="N15">
        <v>0</v>
      </c>
      <c r="Q15" s="1">
        <v>4.8</v>
      </c>
      <c r="R15">
        <v>5</v>
      </c>
      <c r="S15">
        <v>24.8</v>
      </c>
      <c r="T15" t="s">
        <v>4</v>
      </c>
      <c r="U15">
        <v>1.5</v>
      </c>
      <c r="V15">
        <v>56.1</v>
      </c>
      <c r="W15" t="s">
        <v>4</v>
      </c>
      <c r="X15">
        <v>3</v>
      </c>
    </row>
    <row r="16" spans="1:24" ht="15" x14ac:dyDescent="0.35">
      <c r="A16">
        <v>-0.52</v>
      </c>
      <c r="B16">
        <v>-0.62</v>
      </c>
      <c r="C16">
        <v>-0.42</v>
      </c>
      <c r="D16">
        <v>0.17244100000000001</v>
      </c>
      <c r="E16">
        <v>2.9445599999999999E-2</v>
      </c>
      <c r="F16">
        <v>0</v>
      </c>
      <c r="I16">
        <f t="shared" si="0"/>
        <v>2.39</v>
      </c>
      <c r="J16">
        <f t="shared" si="1"/>
        <v>2.29</v>
      </c>
      <c r="K16">
        <f t="shared" si="2"/>
        <v>2.4900000000000002</v>
      </c>
      <c r="L16">
        <v>18.1328</v>
      </c>
      <c r="M16">
        <v>2.6552500000000001</v>
      </c>
      <c r="N16">
        <v>0</v>
      </c>
      <c r="Q16" s="1">
        <v>5</v>
      </c>
      <c r="R16">
        <v>5.2</v>
      </c>
      <c r="S16">
        <v>19.399999999999999</v>
      </c>
      <c r="T16" t="s">
        <v>4</v>
      </c>
      <c r="U16">
        <v>1.2</v>
      </c>
      <c r="V16">
        <v>43.1</v>
      </c>
      <c r="W16" t="s">
        <v>4</v>
      </c>
      <c r="X16">
        <v>2.5</v>
      </c>
    </row>
    <row r="17" spans="17:24" ht="15" x14ac:dyDescent="0.35">
      <c r="Q17" s="1">
        <v>5.2</v>
      </c>
      <c r="R17">
        <v>5.4</v>
      </c>
      <c r="S17">
        <v>18.100000000000001</v>
      </c>
      <c r="T17" t="s">
        <v>4</v>
      </c>
      <c r="U17">
        <v>2.7</v>
      </c>
      <c r="V17">
        <v>39</v>
      </c>
      <c r="W17" t="s">
        <v>4</v>
      </c>
      <c r="X17">
        <v>5.6</v>
      </c>
    </row>
  </sheetData>
  <mergeCells count="3">
    <mergeCell ref="S1:U1"/>
    <mergeCell ref="Q1:R1"/>
    <mergeCell ref="V1:X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2011 158A</vt:lpstr>
      <vt:lpstr>1999 158A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xzyu</dc:creator>
  <cp:lastModifiedBy>xzyu</cp:lastModifiedBy>
  <dcterms:created xsi:type="dcterms:W3CDTF">2015-06-05T18:19:34Z</dcterms:created>
  <dcterms:modified xsi:type="dcterms:W3CDTF">2026-01-06T08:55:53Z</dcterms:modified>
</cp:coreProperties>
</file>